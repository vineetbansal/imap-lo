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chwadron/Computer/IMAP_Lo/quickpipeline/algorithms/"/>
    </mc:Choice>
  </mc:AlternateContent>
  <xr:revisionPtr revIDLastSave="0" documentId="8_{78ECE4AE-2C5D-2F4F-87B0-8A2EE2B14037}" xr6:coauthVersionLast="47" xr6:coauthVersionMax="47" xr10:uidLastSave="{00000000-0000-0000-0000-000000000000}"/>
  <bookViews>
    <workbookView xWindow="7800" yWindow="1740" windowWidth="19780" windowHeight="17440" xr2:uid="{5B7CFF6A-C081-B141-84B6-20BF21558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3" i="1"/>
  <c r="B12" i="1"/>
  <c r="B5" i="1"/>
  <c r="F5" i="1" s="1"/>
  <c r="D19" i="1"/>
  <c r="C19" i="1"/>
  <c r="E19" i="1" s="1"/>
  <c r="D18" i="1"/>
  <c r="C18" i="1"/>
  <c r="E18" i="1" s="1"/>
  <c r="D17" i="1"/>
  <c r="C14" i="1"/>
  <c r="D13" i="1"/>
  <c r="C13" i="1"/>
  <c r="E13" i="1" s="1"/>
  <c r="H13" i="1" s="1"/>
  <c r="D12" i="1"/>
  <c r="C12" i="1"/>
  <c r="E12" i="1" s="1"/>
  <c r="D11" i="1"/>
  <c r="C8" i="1"/>
  <c r="D7" i="1"/>
  <c r="C7" i="1"/>
  <c r="D6" i="1"/>
  <c r="C6" i="1"/>
  <c r="E6" i="1" s="1"/>
  <c r="D5" i="1"/>
  <c r="C5" i="1"/>
  <c r="E5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H19" i="1" l="1"/>
  <c r="C15" i="1"/>
  <c r="B19" i="1"/>
  <c r="H6" i="1"/>
  <c r="D15" i="1"/>
  <c r="H18" i="1"/>
  <c r="C10" i="1"/>
  <c r="E10" i="1" s="1"/>
  <c r="H10" i="1" s="1"/>
  <c r="C16" i="1"/>
  <c r="E16" i="1" s="1"/>
  <c r="H16" i="1" s="1"/>
  <c r="B9" i="1"/>
  <c r="F9" i="1" s="1"/>
  <c r="B17" i="1"/>
  <c r="D8" i="1"/>
  <c r="E8" i="1" s="1"/>
  <c r="D14" i="1"/>
  <c r="E14" i="1" s="1"/>
  <c r="H14" i="1" s="1"/>
  <c r="B6" i="1"/>
  <c r="B18" i="1"/>
  <c r="F18" i="1" s="1"/>
  <c r="C9" i="1"/>
  <c r="B7" i="1"/>
  <c r="F7" i="1" s="1"/>
  <c r="D9" i="1"/>
  <c r="B8" i="1"/>
  <c r="F8" i="1" s="1"/>
  <c r="D10" i="1"/>
  <c r="D16" i="1"/>
  <c r="B10" i="1"/>
  <c r="F10" i="1" s="1"/>
  <c r="C11" i="1"/>
  <c r="E11" i="1" s="1"/>
  <c r="C17" i="1"/>
  <c r="E17" i="1" s="1"/>
  <c r="H17" i="1" s="1"/>
  <c r="B11" i="1"/>
  <c r="E7" i="1"/>
  <c r="H7" i="1" s="1"/>
  <c r="H12" i="1"/>
  <c r="H11" i="1"/>
  <c r="H5" i="1"/>
  <c r="F17" i="1"/>
  <c r="F14" i="1"/>
  <c r="F15" i="1"/>
  <c r="F11" i="1"/>
  <c r="F19" i="1"/>
  <c r="F12" i="1"/>
  <c r="F6" i="1"/>
  <c r="F13" i="1"/>
  <c r="F16" i="1"/>
  <c r="H8" i="1" l="1"/>
  <c r="H21" i="1" s="1"/>
  <c r="E15" i="1"/>
  <c r="H15" i="1" s="1"/>
  <c r="E9" i="1"/>
  <c r="H9" i="1" s="1"/>
  <c r="B21" i="1"/>
  <c r="F21" i="1"/>
  <c r="H1" i="1" s="1"/>
  <c r="G9" i="1" s="1"/>
  <c r="E21" i="1" l="1"/>
  <c r="J1" i="1" s="1"/>
  <c r="G19" i="1"/>
  <c r="G15" i="1"/>
  <c r="G5" i="1"/>
  <c r="G8" i="1"/>
  <c r="G11" i="1"/>
  <c r="G14" i="1"/>
  <c r="G16" i="1"/>
  <c r="G10" i="1"/>
  <c r="G12" i="1"/>
  <c r="G6" i="1"/>
  <c r="G18" i="1"/>
  <c r="G7" i="1"/>
  <c r="G17" i="1"/>
  <c r="G13" i="1"/>
  <c r="I11" i="1" l="1"/>
  <c r="I9" i="1"/>
  <c r="I8" i="1"/>
  <c r="I16" i="1"/>
  <c r="I15" i="1"/>
  <c r="I13" i="1"/>
  <c r="I12" i="1"/>
  <c r="I10" i="1"/>
  <c r="I14" i="1"/>
  <c r="I19" i="1"/>
  <c r="I7" i="1"/>
  <c r="I18" i="1"/>
  <c r="I6" i="1"/>
  <c r="I17" i="1"/>
  <c r="I5" i="1"/>
  <c r="G21" i="1"/>
  <c r="H2" i="1" s="1"/>
  <c r="H3" i="1" s="1"/>
  <c r="I21" i="1" l="1"/>
  <c r="J2" i="1" s="1"/>
  <c r="J3" i="1" s="1"/>
</calcChain>
</file>

<file path=xl/sharedStrings.xml><?xml version="1.0" encoding="utf-8"?>
<sst xmlns="http://schemas.openxmlformats.org/spreadsheetml/2006/main" count="16" uniqueCount="14">
  <si>
    <t>mean</t>
  </si>
  <si>
    <t>sigma</t>
  </si>
  <si>
    <t>mean mom</t>
  </si>
  <si>
    <t>RMS dev</t>
  </si>
  <si>
    <t>norm</t>
  </si>
  <si>
    <t>erf norm</t>
  </si>
  <si>
    <t>gauss</t>
  </si>
  <si>
    <t>gausss mean</t>
  </si>
  <si>
    <t>gauss sig</t>
  </si>
  <si>
    <t>erf mean</t>
  </si>
  <si>
    <t>erf dev^2</t>
  </si>
  <si>
    <t>Peak</t>
  </si>
  <si>
    <t>erf+</t>
  </si>
  <si>
    <t>erf-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</si>
</sst>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F399-60A3-9948-8A2F-0ED7556EB427}">
  <dimension ref="A1:J21"/>
  <sheetViews>
    <sheetView tabSelected="1" workbookViewId="0">
      <selection activeCell="B5" sqref="B5"/>
    </sheetView>
  </sheetViews>
  <sheetFormatPr baseColWidth="10" defaultRowHeight="16" x14ac:dyDescent="0.2"/>
  <sheetData>
    <row r="1" spans="1:10" x14ac:dyDescent="0.2">
      <c r="A1" t="s">
        <v>0</v>
      </c>
      <c r="B1">
        <v>41</v>
      </c>
      <c r="G1" t="s">
        <v>2</v>
      </c>
      <c r="H1">
        <f>F21/B21</f>
        <v>41.000114731345768</v>
      </c>
      <c r="I1" t="s">
        <v>9</v>
      </c>
      <c r="J1">
        <f>H21/E21</f>
        <v>41.000152048134119</v>
      </c>
    </row>
    <row r="2" spans="1:10" x14ac:dyDescent="0.2">
      <c r="A2" t="s">
        <v>1</v>
      </c>
      <c r="B2">
        <v>10</v>
      </c>
      <c r="G2" t="s">
        <v>3</v>
      </c>
      <c r="H2">
        <f>SQRT(G21/B21)</f>
        <v>9.999391852131744</v>
      </c>
      <c r="I2" t="s">
        <v>3</v>
      </c>
      <c r="J2">
        <f>SQRT(I21/E21)</f>
        <v>10.148078766953578</v>
      </c>
    </row>
    <row r="3" spans="1:10" x14ac:dyDescent="0.2">
      <c r="A3" t="s">
        <v>4</v>
      </c>
      <c r="B3">
        <v>80</v>
      </c>
      <c r="G3" t="s">
        <v>11</v>
      </c>
      <c r="H3">
        <f>B21/(SQRT(2*PI())*H2)</f>
        <v>10.000552691704018</v>
      </c>
      <c r="J3">
        <f>E21/(SQRT(2*PI())*J2)</f>
        <v>78.8320625384018</v>
      </c>
    </row>
    <row r="4" spans="1:10" x14ac:dyDescent="0.2">
      <c r="B4" t="s">
        <v>6</v>
      </c>
      <c r="C4" t="s">
        <v>12</v>
      </c>
      <c r="D4" t="s">
        <v>13</v>
      </c>
      <c r="E4" t="s">
        <v>5</v>
      </c>
      <c r="F4" t="s">
        <v>7</v>
      </c>
      <c r="G4" t="s">
        <v>8</v>
      </c>
      <c r="H4" t="s">
        <v>9</v>
      </c>
      <c r="I4" t="s">
        <v>10</v>
      </c>
    </row>
    <row r="5" spans="1:10" x14ac:dyDescent="0.2">
      <c r="A5">
        <v>0</v>
      </c>
      <c r="B5">
        <f>10*EXP(-((A5-$B$1)^2)/(2*($B$2^2)))*6</f>
        <v>1.3424747623237233E-2</v>
      </c>
      <c r="C5">
        <f>0.5*ERF((A5+3-$B$1)/(SQRT(2)*$B$2))</f>
        <v>-0.49992765195607486</v>
      </c>
      <c r="D5">
        <f>0.5*ERF((A5-3-$B$1)/(SQRT(2)*$B$2))</f>
        <v>-0.49999458745609232</v>
      </c>
      <c r="E5">
        <f>$B$3*(C5-D5)*SQRT(2*PI())*$B$2</f>
        <v>0.13422593353626738</v>
      </c>
      <c r="F5">
        <f>A5*B5</f>
        <v>0</v>
      </c>
      <c r="G5">
        <f>((A5-$H$1)^2)*B5</f>
        <v>22.567127054466138</v>
      </c>
      <c r="H5">
        <f>A5*E5</f>
        <v>0</v>
      </c>
      <c r="I5">
        <f>((A5-$J$1)^2)*E5</f>
        <v>225.63546779939364</v>
      </c>
    </row>
    <row r="6" spans="1:10" x14ac:dyDescent="0.2">
      <c r="A6">
        <f>A5+6</f>
        <v>6</v>
      </c>
      <c r="B6">
        <f t="shared" ref="B6:B19" si="0">10*EXP(-((A6-$B$1)^2)/(2*($B$2^2)))*6</f>
        <v>0.1312494670909731</v>
      </c>
      <c r="C6">
        <f t="shared" ref="C6:C19" si="1">0.5*ERF((A6+3-$B$1)/(SQRT(2)*$B$2))</f>
        <v>-0.49931286206208414</v>
      </c>
      <c r="D6">
        <f t="shared" ref="D6:D19" si="2">0.5*ERF((A6-3-$B$1)/(SQRT(2)*$B$2))</f>
        <v>-0.49992765195607486</v>
      </c>
      <c r="E6">
        <f t="shared" ref="E6:E19" si="3">$B$3*(C6-D6)*SQRT(2*PI())*$B$2</f>
        <v>1.2328397849876258</v>
      </c>
      <c r="F6">
        <f t="shared" ref="F6:F19" si="4">A6*B6</f>
        <v>0.78749680254583865</v>
      </c>
      <c r="G6">
        <f t="shared" ref="G6:G19" si="5">((A6-$H$1)^2)*B6</f>
        <v>160.78165127812909</v>
      </c>
      <c r="H6">
        <f t="shared" ref="H6:H19" si="6">A6*E6</f>
        <v>7.3970387099257549</v>
      </c>
      <c r="I6">
        <f t="shared" ref="I6:I19" si="7">((A6-$J$1)^2)*E6</f>
        <v>1510.2418582075716</v>
      </c>
    </row>
    <row r="7" spans="1:10" x14ac:dyDescent="0.2">
      <c r="A7">
        <f>A6+6</f>
        <v>12</v>
      </c>
      <c r="B7">
        <f t="shared" si="0"/>
        <v>0.89524716414407057</v>
      </c>
      <c r="C7">
        <f t="shared" si="1"/>
        <v>-0.49533881197628127</v>
      </c>
      <c r="D7">
        <f t="shared" si="2"/>
        <v>-0.49931286206208414</v>
      </c>
      <c r="E7">
        <f t="shared" si="3"/>
        <v>7.9691730478985843</v>
      </c>
      <c r="F7">
        <f t="shared" si="4"/>
        <v>10.742965969728846</v>
      </c>
      <c r="G7">
        <f t="shared" si="5"/>
        <v>752.90882240584017</v>
      </c>
      <c r="H7">
        <f t="shared" si="6"/>
        <v>95.630076574783004</v>
      </c>
      <c r="I7">
        <f t="shared" si="7"/>
        <v>6702.144811944705</v>
      </c>
    </row>
    <row r="8" spans="1:10" x14ac:dyDescent="0.2">
      <c r="A8">
        <f t="shared" ref="A8:A19" si="8">A7+6</f>
        <v>18</v>
      </c>
      <c r="B8">
        <f t="shared" si="0"/>
        <v>4.2603212243782194</v>
      </c>
      <c r="C8">
        <f t="shared" si="1"/>
        <v>-0.47724986805182079</v>
      </c>
      <c r="D8">
        <f t="shared" si="2"/>
        <v>-0.49533881197628127</v>
      </c>
      <c r="E8">
        <f t="shared" si="3"/>
        <v>36.27380663941382</v>
      </c>
      <c r="F8">
        <f t="shared" si="4"/>
        <v>76.685782038807943</v>
      </c>
      <c r="G8">
        <f t="shared" si="5"/>
        <v>2253.7324122019818</v>
      </c>
      <c r="H8">
        <f t="shared" si="6"/>
        <v>652.92851950944873</v>
      </c>
      <c r="I8">
        <f t="shared" si="7"/>
        <v>19189.097419860893</v>
      </c>
    </row>
    <row r="9" spans="1:10" x14ac:dyDescent="0.2">
      <c r="A9">
        <f t="shared" si="8"/>
        <v>24</v>
      </c>
      <c r="B9">
        <f t="shared" si="0"/>
        <v>14.144764593351812</v>
      </c>
      <c r="C9">
        <f t="shared" si="1"/>
        <v>-0.41924334076622893</v>
      </c>
      <c r="D9">
        <f t="shared" si="2"/>
        <v>-0.47724986805182079</v>
      </c>
      <c r="E9">
        <f t="shared" si="3"/>
        <v>116.32064112577532</v>
      </c>
      <c r="F9">
        <f t="shared" si="4"/>
        <v>339.47435024044353</v>
      </c>
      <c r="G9">
        <f t="shared" si="5"/>
        <v>4087.8921444926959</v>
      </c>
      <c r="H9">
        <f t="shared" si="6"/>
        <v>2791.695387018608</v>
      </c>
      <c r="I9">
        <f t="shared" si="7"/>
        <v>33617.266623477299</v>
      </c>
    </row>
    <row r="10" spans="1:10" x14ac:dyDescent="0.2">
      <c r="A10">
        <f t="shared" si="8"/>
        <v>30</v>
      </c>
      <c r="B10">
        <f t="shared" si="0"/>
        <v>32.764465598382564</v>
      </c>
      <c r="C10">
        <f t="shared" si="1"/>
        <v>-0.28814460141660336</v>
      </c>
      <c r="D10">
        <f t="shared" si="2"/>
        <v>-0.41924334076622893</v>
      </c>
      <c r="E10">
        <f t="shared" si="3"/>
        <v>262.89264545780094</v>
      </c>
      <c r="F10">
        <f t="shared" si="4"/>
        <v>982.93396795147692</v>
      </c>
      <c r="G10">
        <f t="shared" si="5"/>
        <v>3964.5830382826707</v>
      </c>
      <c r="H10">
        <f t="shared" si="6"/>
        <v>7886.7793637340283</v>
      </c>
      <c r="I10">
        <f t="shared" si="7"/>
        <v>31810.889497868371</v>
      </c>
    </row>
    <row r="11" spans="1:10" x14ac:dyDescent="0.2">
      <c r="A11">
        <f t="shared" si="8"/>
        <v>36</v>
      </c>
      <c r="B11">
        <f t="shared" si="0"/>
        <v>52.949814155075728</v>
      </c>
      <c r="C11">
        <f t="shared" si="1"/>
        <v>-7.9259709439103043E-2</v>
      </c>
      <c r="D11">
        <f t="shared" si="2"/>
        <v>-0.28814460141660336</v>
      </c>
      <c r="E11">
        <f t="shared" si="3"/>
        <v>418.87742109923568</v>
      </c>
      <c r="F11">
        <f t="shared" si="4"/>
        <v>1906.1933095827262</v>
      </c>
      <c r="G11">
        <f t="shared" si="5"/>
        <v>1323.8061046082482</v>
      </c>
      <c r="H11">
        <f t="shared" si="6"/>
        <v>15079.587159572484</v>
      </c>
      <c r="I11">
        <f t="shared" si="7"/>
        <v>10472.572432467792</v>
      </c>
    </row>
    <row r="12" spans="1:10" x14ac:dyDescent="0.2">
      <c r="A12">
        <f t="shared" si="8"/>
        <v>42</v>
      </c>
      <c r="B12">
        <f t="shared" si="0"/>
        <v>59.700748751560937</v>
      </c>
      <c r="C12">
        <f t="shared" si="1"/>
        <v>0.15542174161032418</v>
      </c>
      <c r="D12">
        <f t="shared" si="2"/>
        <v>-7.9259709439103043E-2</v>
      </c>
      <c r="E12">
        <f t="shared" si="3"/>
        <v>470.60732858554024</v>
      </c>
      <c r="F12">
        <f t="shared" si="4"/>
        <v>2507.4314475655592</v>
      </c>
      <c r="G12">
        <f t="shared" si="5"/>
        <v>59.687050442923471</v>
      </c>
      <c r="H12">
        <f t="shared" si="6"/>
        <v>19765.507800592692</v>
      </c>
      <c r="I12">
        <f t="shared" si="7"/>
        <v>470.46422953291119</v>
      </c>
    </row>
    <row r="13" spans="1:10" x14ac:dyDescent="0.2">
      <c r="A13">
        <f t="shared" si="8"/>
        <v>48</v>
      </c>
      <c r="B13">
        <f t="shared" si="0"/>
        <v>46.96227229451209</v>
      </c>
      <c r="C13">
        <f t="shared" si="1"/>
        <v>0.34134474606854287</v>
      </c>
      <c r="D13">
        <f t="shared" si="2"/>
        <v>0.15542174161032418</v>
      </c>
      <c r="E13">
        <f t="shared" si="3"/>
        <v>372.83188790345321</v>
      </c>
      <c r="F13">
        <f t="shared" si="4"/>
        <v>2254.1890701365801</v>
      </c>
      <c r="G13">
        <f t="shared" si="5"/>
        <v>2301.0759104234608</v>
      </c>
      <c r="H13">
        <f t="shared" si="6"/>
        <v>17895.930619365754</v>
      </c>
      <c r="I13">
        <f t="shared" si="7"/>
        <v>18267.968878388034</v>
      </c>
    </row>
    <row r="14" spans="1:10" x14ac:dyDescent="0.2">
      <c r="A14">
        <f t="shared" si="8"/>
        <v>54</v>
      </c>
      <c r="B14">
        <f t="shared" si="0"/>
        <v>25.773441492644352</v>
      </c>
      <c r="C14">
        <f t="shared" si="1"/>
        <v>0.44520070830044201</v>
      </c>
      <c r="D14">
        <f t="shared" si="2"/>
        <v>0.34134474606854287</v>
      </c>
      <c r="E14">
        <f t="shared" si="3"/>
        <v>208.26263313559011</v>
      </c>
      <c r="F14">
        <f t="shared" si="4"/>
        <v>1391.7658406027949</v>
      </c>
      <c r="G14">
        <f t="shared" si="5"/>
        <v>4355.634730033843</v>
      </c>
      <c r="H14">
        <f t="shared" si="6"/>
        <v>11246.182189321866</v>
      </c>
      <c r="I14">
        <f t="shared" si="7"/>
        <v>35195.561690165327</v>
      </c>
    </row>
    <row r="15" spans="1:10" x14ac:dyDescent="0.2">
      <c r="A15">
        <f t="shared" si="8"/>
        <v>60</v>
      </c>
      <c r="B15">
        <f t="shared" si="0"/>
        <v>9.8684673946292936</v>
      </c>
      <c r="C15">
        <f t="shared" si="1"/>
        <v>0.48609655248650141</v>
      </c>
      <c r="D15">
        <f t="shared" si="2"/>
        <v>0.44520070830044201</v>
      </c>
      <c r="E15">
        <f t="shared" si="3"/>
        <v>82.008543481344248</v>
      </c>
      <c r="F15">
        <f t="shared" si="4"/>
        <v>592.10804367775756</v>
      </c>
      <c r="G15">
        <f t="shared" si="5"/>
        <v>3562.4737051343723</v>
      </c>
      <c r="H15">
        <f t="shared" si="6"/>
        <v>4920.5126088806546</v>
      </c>
      <c r="I15">
        <f t="shared" si="7"/>
        <v>29604.610367312511</v>
      </c>
    </row>
    <row r="16" spans="1:10" x14ac:dyDescent="0.2">
      <c r="A16">
        <f t="shared" si="8"/>
        <v>66</v>
      </c>
      <c r="B16">
        <f t="shared" si="0"/>
        <v>2.6362160174044451</v>
      </c>
      <c r="C16">
        <f t="shared" si="1"/>
        <v>0.49744486966957208</v>
      </c>
      <c r="D16">
        <f t="shared" si="2"/>
        <v>0.48609655248650141</v>
      </c>
      <c r="E16">
        <f t="shared" si="3"/>
        <v>22.756810176452603</v>
      </c>
      <c r="F16">
        <f t="shared" si="4"/>
        <v>173.99025714869339</v>
      </c>
      <c r="G16">
        <f t="shared" si="5"/>
        <v>1647.619888081909</v>
      </c>
      <c r="H16">
        <f t="shared" si="6"/>
        <v>1501.9494716458719</v>
      </c>
      <c r="I16">
        <f t="shared" si="7"/>
        <v>14222.833354282693</v>
      </c>
    </row>
    <row r="17" spans="1:9" x14ac:dyDescent="0.2">
      <c r="A17">
        <f t="shared" si="8"/>
        <v>72</v>
      </c>
      <c r="B17">
        <f t="shared" si="0"/>
        <v>0.49132206086244501</v>
      </c>
      <c r="C17">
        <f t="shared" si="1"/>
        <v>0.49966307073432314</v>
      </c>
      <c r="D17">
        <f t="shared" si="2"/>
        <v>0.49744486966957208</v>
      </c>
      <c r="E17">
        <f t="shared" si="3"/>
        <v>4.4481644061772947</v>
      </c>
      <c r="F17">
        <f t="shared" si="4"/>
        <v>35.375188382096042</v>
      </c>
      <c r="G17">
        <f t="shared" si="5"/>
        <v>472.15700555271968</v>
      </c>
      <c r="H17">
        <f t="shared" si="6"/>
        <v>320.26783724476525</v>
      </c>
      <c r="I17">
        <f t="shared" si="7"/>
        <v>4274.6440616631262</v>
      </c>
    </row>
    <row r="18" spans="1:9" x14ac:dyDescent="0.2">
      <c r="A18">
        <f t="shared" si="8"/>
        <v>78</v>
      </c>
      <c r="B18">
        <f t="shared" si="0"/>
        <v>6.3885974200075232E-2</v>
      </c>
      <c r="C18">
        <f t="shared" si="1"/>
        <v>0.49996832875816688</v>
      </c>
      <c r="D18">
        <f t="shared" si="2"/>
        <v>0.49966307073432314</v>
      </c>
      <c r="E18">
        <f t="shared" si="3"/>
        <v>0.61213471489975257</v>
      </c>
      <c r="F18">
        <f t="shared" si="4"/>
        <v>4.9831059876058683</v>
      </c>
      <c r="G18">
        <f t="shared" si="5"/>
        <v>87.459356281183062</v>
      </c>
      <c r="H18">
        <f t="shared" si="6"/>
        <v>47.746507762180698</v>
      </c>
      <c r="I18">
        <f t="shared" si="7"/>
        <v>838.00553724026202</v>
      </c>
    </row>
    <row r="19" spans="1:9" x14ac:dyDescent="0.2">
      <c r="A19">
        <f t="shared" si="8"/>
        <v>84</v>
      </c>
      <c r="B19">
        <f t="shared" si="0"/>
        <v>5.7956048233310407E-3</v>
      </c>
      <c r="C19">
        <f t="shared" si="1"/>
        <v>0.4999978875452975</v>
      </c>
      <c r="D19">
        <f t="shared" si="2"/>
        <v>0.49996832875816688</v>
      </c>
      <c r="E19">
        <f t="shared" si="3"/>
        <v>5.9274313268335925E-2</v>
      </c>
      <c r="F19">
        <f t="shared" si="4"/>
        <v>0.48683080515980742</v>
      </c>
      <c r="G19">
        <f t="shared" si="5"/>
        <v>10.716016133786864</v>
      </c>
      <c r="H19">
        <f t="shared" si="6"/>
        <v>4.9790423145402176</v>
      </c>
      <c r="I19">
        <f t="shared" si="7"/>
        <v>109.59743015533238</v>
      </c>
    </row>
    <row r="21" spans="1:9" x14ac:dyDescent="0.2">
      <c r="B21">
        <f>SUM(B5:B19)</f>
        <v>250.66143654068361</v>
      </c>
      <c r="E21">
        <f>SUM(E5:E19)</f>
        <v>2005.2875298053739</v>
      </c>
      <c r="F21">
        <f>SUM(F5:F19)</f>
        <v>10277.147656891975</v>
      </c>
      <c r="G21">
        <f>SUM(G5:G19)</f>
        <v>25063.094962408228</v>
      </c>
      <c r="H21">
        <f>SUM(H5:H19)</f>
        <v>82217.093622247601</v>
      </c>
      <c r="I21">
        <f>SUM(I5:I19)</f>
        <v>206511.5336603662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Schwadron</dc:creator>
  <cp:lastModifiedBy>Nathan Schwadron</cp:lastModifiedBy>
  <dcterms:created xsi:type="dcterms:W3CDTF">2026-02-21T19:09:26Z</dcterms:created>
  <dcterms:modified xsi:type="dcterms:W3CDTF">2026-04-06T11:29:13Z</dcterms:modified>
</cp:coreProperties>
</file>
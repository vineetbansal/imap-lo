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algorithms/"/>
    </mc:Choice>
  </mc:AlternateContent>
  <xr:revisionPtr revIDLastSave="0" documentId="13_ncr:1_{279D5C12-A211-374B-8973-798B4A1D3CB2}" xr6:coauthVersionLast="47" xr6:coauthVersionMax="47" xr10:uidLastSave="{00000000-0000-0000-0000-000000000000}"/>
  <bookViews>
    <workbookView xWindow="21020" yWindow="3900" windowWidth="30420" windowHeight="19660" xr2:uid="{4F62D8AD-D3EE-044E-AB0B-40C37D57F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" l="1"/>
  <c r="J10" i="1" l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G11" i="1"/>
  <c r="J11" i="1" s="1"/>
  <c r="D11" i="1"/>
  <c r="C11" i="1"/>
  <c r="D10" i="1"/>
  <c r="B15" i="1"/>
  <c r="B14" i="1"/>
  <c r="B13" i="1"/>
  <c r="B12" i="1"/>
  <c r="C12" i="1" s="1"/>
  <c r="B11" i="1"/>
  <c r="B10" i="1"/>
  <c r="C10" i="1" s="1"/>
  <c r="D7" i="1"/>
  <c r="F7" i="1" s="1"/>
  <c r="C5" i="1"/>
  <c r="A12" i="1"/>
  <c r="A13" i="1" s="1"/>
  <c r="A14" i="1" s="1"/>
  <c r="A15" i="1" s="1"/>
  <c r="A16" i="1" s="1"/>
  <c r="A17" i="1" s="1"/>
  <c r="D14" i="1" l="1"/>
  <c r="C14" i="1"/>
  <c r="B16" i="1"/>
  <c r="D15" i="1"/>
  <c r="C15" i="1"/>
  <c r="A18" i="1"/>
  <c r="B17" i="1"/>
  <c r="D13" i="1"/>
  <c r="C13" i="1"/>
  <c r="D12" i="1"/>
  <c r="G12" i="1"/>
  <c r="E7" i="1"/>
  <c r="D17" i="1" l="1"/>
  <c r="C17" i="1"/>
  <c r="A19" i="1"/>
  <c r="B18" i="1"/>
  <c r="D16" i="1"/>
  <c r="C16" i="1"/>
  <c r="G13" i="1"/>
  <c r="J12" i="1"/>
  <c r="E13" i="1"/>
  <c r="F13" i="1" s="1"/>
  <c r="E17" i="1"/>
  <c r="F17" i="1" s="1"/>
  <c r="E16" i="1"/>
  <c r="F16" i="1" s="1"/>
  <c r="E15" i="1"/>
  <c r="F15" i="1" s="1"/>
  <c r="E14" i="1"/>
  <c r="F14" i="1" s="1"/>
  <c r="E12" i="1"/>
  <c r="F12" i="1" s="1"/>
  <c r="E11" i="1"/>
  <c r="F11" i="1" s="1"/>
  <c r="E10" i="1"/>
  <c r="F10" i="1" s="1"/>
  <c r="D18" i="1" l="1"/>
  <c r="C18" i="1"/>
  <c r="E18" i="1" s="1"/>
  <c r="F18" i="1" s="1"/>
  <c r="A20" i="1"/>
  <c r="B19" i="1"/>
  <c r="J13" i="1"/>
  <c r="G14" i="1"/>
  <c r="D19" i="1" l="1"/>
  <c r="C19" i="1"/>
  <c r="E19" i="1" s="1"/>
  <c r="F19" i="1" s="1"/>
  <c r="A21" i="1"/>
  <c r="B20" i="1"/>
  <c r="J14" i="1"/>
  <c r="G15" i="1"/>
  <c r="D20" i="1" l="1"/>
  <c r="C20" i="1"/>
  <c r="E20" i="1" s="1"/>
  <c r="F20" i="1" s="1"/>
  <c r="A22" i="1"/>
  <c r="B21" i="1"/>
  <c r="J15" i="1"/>
  <c r="G16" i="1"/>
  <c r="C21" i="1" l="1"/>
  <c r="D21" i="1"/>
  <c r="A23" i="1"/>
  <c r="B22" i="1"/>
  <c r="J16" i="1"/>
  <c r="G17" i="1"/>
  <c r="D22" i="1" l="1"/>
  <c r="C22" i="1"/>
  <c r="E22" i="1" s="1"/>
  <c r="F22" i="1" s="1"/>
  <c r="A24" i="1"/>
  <c r="B23" i="1"/>
  <c r="E21" i="1"/>
  <c r="F21" i="1" s="1"/>
  <c r="J17" i="1"/>
  <c r="G18" i="1"/>
  <c r="D23" i="1" l="1"/>
  <c r="C23" i="1"/>
  <c r="E23" i="1" s="1"/>
  <c r="F23" i="1" s="1"/>
  <c r="A25" i="1"/>
  <c r="B24" i="1"/>
  <c r="J18" i="1"/>
  <c r="G19" i="1"/>
  <c r="D24" i="1" l="1"/>
  <c r="C24" i="1"/>
  <c r="E24" i="1" s="1"/>
  <c r="F24" i="1" s="1"/>
  <c r="A26" i="1"/>
  <c r="B25" i="1"/>
  <c r="J19" i="1"/>
  <c r="G20" i="1"/>
  <c r="D25" i="1" l="1"/>
  <c r="C25" i="1"/>
  <c r="E25" i="1" s="1"/>
  <c r="F25" i="1" s="1"/>
  <c r="A27" i="1"/>
  <c r="B26" i="1"/>
  <c r="J20" i="1"/>
  <c r="G21" i="1"/>
  <c r="D26" i="1" l="1"/>
  <c r="C26" i="1"/>
  <c r="E26" i="1" s="1"/>
  <c r="F26" i="1" s="1"/>
  <c r="A28" i="1"/>
  <c r="B27" i="1"/>
  <c r="J21" i="1"/>
  <c r="G22" i="1"/>
  <c r="D27" i="1" l="1"/>
  <c r="C27" i="1"/>
  <c r="E27" i="1" s="1"/>
  <c r="F27" i="1" s="1"/>
  <c r="A29" i="1"/>
  <c r="B28" i="1"/>
  <c r="J22" i="1"/>
  <c r="G23" i="1"/>
  <c r="D28" i="1" l="1"/>
  <c r="C28" i="1"/>
  <c r="E28" i="1" s="1"/>
  <c r="F28" i="1" s="1"/>
  <c r="A30" i="1"/>
  <c r="B29" i="1"/>
  <c r="J23" i="1"/>
  <c r="G24" i="1"/>
  <c r="D29" i="1" l="1"/>
  <c r="C29" i="1"/>
  <c r="E29" i="1" s="1"/>
  <c r="F29" i="1" s="1"/>
  <c r="A31" i="1"/>
  <c r="B30" i="1"/>
  <c r="J24" i="1"/>
  <c r="G25" i="1"/>
  <c r="D30" i="1" l="1"/>
  <c r="C30" i="1"/>
  <c r="E30" i="1" s="1"/>
  <c r="F30" i="1" s="1"/>
  <c r="A32" i="1"/>
  <c r="B31" i="1"/>
  <c r="J25" i="1"/>
  <c r="G26" i="1"/>
  <c r="D31" i="1" l="1"/>
  <c r="C31" i="1"/>
  <c r="E31" i="1" s="1"/>
  <c r="F31" i="1" s="1"/>
  <c r="A33" i="1"/>
  <c r="B32" i="1"/>
  <c r="J26" i="1"/>
  <c r="G27" i="1"/>
  <c r="D32" i="1" l="1"/>
  <c r="C32" i="1"/>
  <c r="E32" i="1" s="1"/>
  <c r="F32" i="1" s="1"/>
  <c r="A34" i="1"/>
  <c r="B33" i="1"/>
  <c r="J27" i="1"/>
  <c r="G28" i="1"/>
  <c r="D33" i="1" l="1"/>
  <c r="C33" i="1"/>
  <c r="E33" i="1" s="1"/>
  <c r="F33" i="1" s="1"/>
  <c r="A35" i="1"/>
  <c r="B34" i="1"/>
  <c r="J28" i="1"/>
  <c r="G29" i="1"/>
  <c r="C34" i="1" l="1"/>
  <c r="D34" i="1"/>
  <c r="A36" i="1"/>
  <c r="B35" i="1"/>
  <c r="J29" i="1"/>
  <c r="G30" i="1"/>
  <c r="D35" i="1" l="1"/>
  <c r="C35" i="1"/>
  <c r="E35" i="1" s="1"/>
  <c r="F35" i="1" s="1"/>
  <c r="A37" i="1"/>
  <c r="B36" i="1"/>
  <c r="E34" i="1"/>
  <c r="F34" i="1" s="1"/>
  <c r="J30" i="1"/>
  <c r="G31" i="1"/>
  <c r="C36" i="1" l="1"/>
  <c r="D36" i="1"/>
  <c r="A38" i="1"/>
  <c r="B37" i="1"/>
  <c r="J31" i="1"/>
  <c r="G32" i="1"/>
  <c r="D37" i="1" l="1"/>
  <c r="C37" i="1"/>
  <c r="E37" i="1" s="1"/>
  <c r="F37" i="1" s="1"/>
  <c r="A39" i="1"/>
  <c r="B38" i="1"/>
  <c r="E36" i="1"/>
  <c r="F36" i="1" s="1"/>
  <c r="J32" i="1"/>
  <c r="G33" i="1"/>
  <c r="A40" i="1" l="1"/>
  <c r="B39" i="1"/>
  <c r="D38" i="1"/>
  <c r="C38" i="1"/>
  <c r="E38" i="1" s="1"/>
  <c r="F38" i="1" s="1"/>
  <c r="J33" i="1"/>
  <c r="G34" i="1"/>
  <c r="D39" i="1" l="1"/>
  <c r="C39" i="1"/>
  <c r="E39" i="1" s="1"/>
  <c r="F39" i="1" s="1"/>
  <c r="A41" i="1"/>
  <c r="B40" i="1"/>
  <c r="J34" i="1"/>
  <c r="G35" i="1"/>
  <c r="D40" i="1" l="1"/>
  <c r="C40" i="1"/>
  <c r="E40" i="1" s="1"/>
  <c r="F40" i="1" s="1"/>
  <c r="A42" i="1"/>
  <c r="B41" i="1"/>
  <c r="J35" i="1"/>
  <c r="G36" i="1"/>
  <c r="D41" i="1" l="1"/>
  <c r="C41" i="1"/>
  <c r="E41" i="1" s="1"/>
  <c r="F41" i="1" s="1"/>
  <c r="A43" i="1"/>
  <c r="B42" i="1"/>
  <c r="J36" i="1"/>
  <c r="G37" i="1"/>
  <c r="D42" i="1" l="1"/>
  <c r="C42" i="1"/>
  <c r="E42" i="1" s="1"/>
  <c r="F42" i="1" s="1"/>
  <c r="A44" i="1"/>
  <c r="B43" i="1"/>
  <c r="J37" i="1"/>
  <c r="G38" i="1"/>
  <c r="A45" i="1" l="1"/>
  <c r="B44" i="1"/>
  <c r="D43" i="1"/>
  <c r="C43" i="1"/>
  <c r="E43" i="1" s="1"/>
  <c r="F43" i="1" s="1"/>
  <c r="J38" i="1"/>
  <c r="G39" i="1"/>
  <c r="D44" i="1" l="1"/>
  <c r="C44" i="1"/>
  <c r="E44" i="1" s="1"/>
  <c r="F44" i="1" s="1"/>
  <c r="A46" i="1"/>
  <c r="B45" i="1"/>
  <c r="J39" i="1"/>
  <c r="C45" i="1" l="1"/>
  <c r="E45" i="1" s="1"/>
  <c r="F45" i="1" s="1"/>
  <c r="D45" i="1"/>
  <c r="A47" i="1"/>
  <c r="B46" i="1"/>
  <c r="D46" i="1" l="1"/>
  <c r="C46" i="1"/>
  <c r="E46" i="1" s="1"/>
  <c r="F46" i="1" s="1"/>
  <c r="A48" i="1"/>
  <c r="B47" i="1"/>
  <c r="A49" i="1" l="1"/>
  <c r="B48" i="1"/>
  <c r="D47" i="1"/>
  <c r="C47" i="1"/>
  <c r="E47" i="1" s="1"/>
  <c r="F47" i="1" s="1"/>
  <c r="D48" i="1" l="1"/>
  <c r="C48" i="1"/>
  <c r="E48" i="1" s="1"/>
  <c r="F48" i="1" s="1"/>
  <c r="A50" i="1"/>
  <c r="B49" i="1"/>
  <c r="D49" i="1" l="1"/>
  <c r="C49" i="1"/>
  <c r="E49" i="1" s="1"/>
  <c r="F49" i="1" s="1"/>
  <c r="A51" i="1"/>
  <c r="B50" i="1"/>
  <c r="D50" i="1" l="1"/>
  <c r="C50" i="1"/>
  <c r="E50" i="1" s="1"/>
  <c r="F50" i="1" s="1"/>
  <c r="A52" i="1"/>
  <c r="B51" i="1"/>
  <c r="D51" i="1" l="1"/>
  <c r="C51" i="1"/>
  <c r="E51" i="1" s="1"/>
  <c r="F51" i="1" s="1"/>
  <c r="A53" i="1"/>
  <c r="B52" i="1"/>
  <c r="D52" i="1" l="1"/>
  <c r="C52" i="1"/>
  <c r="E52" i="1" s="1"/>
  <c r="F52" i="1" s="1"/>
  <c r="A54" i="1"/>
  <c r="B53" i="1"/>
  <c r="D53" i="1" l="1"/>
  <c r="C53" i="1"/>
  <c r="E53" i="1" s="1"/>
  <c r="F53" i="1" s="1"/>
  <c r="A55" i="1"/>
  <c r="B54" i="1"/>
  <c r="D54" i="1" l="1"/>
  <c r="C54" i="1"/>
  <c r="E54" i="1" s="1"/>
  <c r="F54" i="1" s="1"/>
  <c r="A56" i="1"/>
  <c r="B55" i="1"/>
  <c r="D55" i="1" l="1"/>
  <c r="C55" i="1"/>
  <c r="E55" i="1" s="1"/>
  <c r="F55" i="1" s="1"/>
  <c r="A57" i="1"/>
  <c r="B56" i="1"/>
  <c r="D56" i="1" l="1"/>
  <c r="C56" i="1"/>
  <c r="E56" i="1" s="1"/>
  <c r="F56" i="1" s="1"/>
  <c r="A58" i="1"/>
  <c r="B57" i="1"/>
  <c r="D57" i="1" l="1"/>
  <c r="C57" i="1"/>
  <c r="E57" i="1" s="1"/>
  <c r="F57" i="1" s="1"/>
  <c r="A59" i="1"/>
  <c r="B58" i="1"/>
  <c r="C58" i="1" l="1"/>
  <c r="D58" i="1"/>
  <c r="A60" i="1"/>
  <c r="B59" i="1"/>
  <c r="A61" i="1" l="1"/>
  <c r="B60" i="1"/>
  <c r="D59" i="1"/>
  <c r="C59" i="1"/>
  <c r="E59" i="1" s="1"/>
  <c r="F59" i="1" s="1"/>
  <c r="E58" i="1"/>
  <c r="F58" i="1" s="1"/>
  <c r="C60" i="1" l="1"/>
  <c r="D60" i="1"/>
  <c r="A62" i="1"/>
  <c r="B61" i="1"/>
  <c r="D61" i="1" l="1"/>
  <c r="C61" i="1"/>
  <c r="E61" i="1" s="1"/>
  <c r="F61" i="1" s="1"/>
  <c r="A63" i="1"/>
  <c r="B62" i="1"/>
  <c r="E60" i="1"/>
  <c r="F60" i="1" s="1"/>
  <c r="D62" i="1" l="1"/>
  <c r="C62" i="1"/>
  <c r="E62" i="1" s="1"/>
  <c r="F62" i="1" s="1"/>
  <c r="A64" i="1"/>
  <c r="B63" i="1"/>
  <c r="A65" i="1" l="1"/>
  <c r="B64" i="1"/>
  <c r="D63" i="1"/>
  <c r="C63" i="1"/>
  <c r="E63" i="1" s="1"/>
  <c r="F63" i="1" s="1"/>
  <c r="D64" i="1" l="1"/>
  <c r="C64" i="1"/>
  <c r="A66" i="1"/>
  <c r="B65" i="1"/>
  <c r="D65" i="1" l="1"/>
  <c r="C65" i="1"/>
  <c r="E65" i="1" s="1"/>
  <c r="F65" i="1" s="1"/>
  <c r="A67" i="1"/>
  <c r="B66" i="1"/>
  <c r="E64" i="1"/>
  <c r="F64" i="1" s="1"/>
  <c r="D66" i="1" l="1"/>
  <c r="C66" i="1"/>
  <c r="E66" i="1" s="1"/>
  <c r="F66" i="1" s="1"/>
  <c r="A68" i="1"/>
  <c r="B67" i="1"/>
  <c r="D67" i="1" l="1"/>
  <c r="C67" i="1"/>
  <c r="E67" i="1" s="1"/>
  <c r="F67" i="1" s="1"/>
  <c r="A69" i="1"/>
  <c r="B68" i="1"/>
  <c r="A70" i="1" l="1"/>
  <c r="B69" i="1"/>
  <c r="D68" i="1"/>
  <c r="C68" i="1"/>
  <c r="E68" i="1" s="1"/>
  <c r="F68" i="1" s="1"/>
  <c r="C69" i="1" l="1"/>
  <c r="D69" i="1"/>
  <c r="A71" i="1"/>
  <c r="B70" i="1"/>
  <c r="D70" i="1" l="1"/>
  <c r="C70" i="1"/>
  <c r="E70" i="1" s="1"/>
  <c r="F70" i="1" s="1"/>
  <c r="A72" i="1"/>
  <c r="B71" i="1"/>
  <c r="E69" i="1"/>
  <c r="F69" i="1" s="1"/>
  <c r="D71" i="1" l="1"/>
  <c r="C71" i="1"/>
  <c r="E71" i="1" s="1"/>
  <c r="F71" i="1" s="1"/>
  <c r="A73" i="1"/>
  <c r="B72" i="1"/>
  <c r="A74" i="1" l="1"/>
  <c r="B73" i="1"/>
  <c r="D72" i="1"/>
  <c r="C72" i="1"/>
  <c r="E72" i="1" s="1"/>
  <c r="F72" i="1" s="1"/>
  <c r="D73" i="1" l="1"/>
  <c r="C73" i="1"/>
  <c r="E73" i="1" s="1"/>
  <c r="F73" i="1" s="1"/>
  <c r="A75" i="1"/>
  <c r="B74" i="1"/>
  <c r="D74" i="1" l="1"/>
  <c r="C74" i="1"/>
  <c r="E74" i="1" s="1"/>
  <c r="F74" i="1" s="1"/>
  <c r="A76" i="1"/>
  <c r="B75" i="1"/>
  <c r="D75" i="1" l="1"/>
  <c r="C75" i="1"/>
  <c r="E75" i="1" s="1"/>
  <c r="F75" i="1" s="1"/>
  <c r="A77" i="1"/>
  <c r="B76" i="1"/>
  <c r="D76" i="1" l="1"/>
  <c r="C76" i="1"/>
  <c r="E76" i="1" s="1"/>
  <c r="F76" i="1" s="1"/>
  <c r="A78" i="1"/>
  <c r="B77" i="1"/>
  <c r="D77" i="1" l="1"/>
  <c r="C77" i="1"/>
  <c r="E77" i="1" s="1"/>
  <c r="F77" i="1" s="1"/>
  <c r="A79" i="1"/>
  <c r="B78" i="1"/>
  <c r="A80" i="1" l="1"/>
  <c r="B79" i="1"/>
  <c r="D78" i="1"/>
  <c r="C78" i="1"/>
  <c r="E78" i="1" s="1"/>
  <c r="F78" i="1" s="1"/>
  <c r="D79" i="1" l="1"/>
  <c r="C79" i="1"/>
  <c r="E79" i="1" s="1"/>
  <c r="F79" i="1" s="1"/>
  <c r="A81" i="1"/>
  <c r="B80" i="1"/>
  <c r="D80" i="1" l="1"/>
  <c r="C80" i="1"/>
  <c r="E80" i="1" s="1"/>
  <c r="F80" i="1" s="1"/>
  <c r="A82" i="1"/>
  <c r="B81" i="1"/>
  <c r="D81" i="1" l="1"/>
  <c r="C81" i="1"/>
  <c r="E81" i="1" s="1"/>
  <c r="F81" i="1" s="1"/>
  <c r="A83" i="1"/>
  <c r="B82" i="1"/>
  <c r="A84" i="1" l="1"/>
  <c r="B83" i="1"/>
  <c r="C82" i="1"/>
  <c r="D82" i="1"/>
  <c r="E82" i="1" l="1"/>
  <c r="F82" i="1" s="1"/>
  <c r="D83" i="1"/>
  <c r="C83" i="1"/>
  <c r="E83" i="1" s="1"/>
  <c r="F83" i="1" s="1"/>
  <c r="A85" i="1"/>
  <c r="B84" i="1"/>
  <c r="C84" i="1" l="1"/>
  <c r="D84" i="1"/>
  <c r="A86" i="1"/>
  <c r="B85" i="1"/>
  <c r="D85" i="1" l="1"/>
  <c r="C85" i="1"/>
  <c r="E85" i="1" s="1"/>
  <c r="F85" i="1" s="1"/>
  <c r="A87" i="1"/>
  <c r="B86" i="1"/>
  <c r="E84" i="1"/>
  <c r="F84" i="1" s="1"/>
  <c r="D86" i="1" l="1"/>
  <c r="C86" i="1"/>
  <c r="E86" i="1" s="1"/>
  <c r="F86" i="1" s="1"/>
  <c r="A88" i="1"/>
  <c r="B87" i="1"/>
  <c r="D87" i="1" l="1"/>
  <c r="C87" i="1"/>
  <c r="E87" i="1" s="1"/>
  <c r="F87" i="1" s="1"/>
  <c r="A89" i="1"/>
  <c r="B88" i="1"/>
  <c r="C88" i="1" l="1"/>
  <c r="D88" i="1"/>
  <c r="A90" i="1"/>
  <c r="B89" i="1"/>
  <c r="D89" i="1" l="1"/>
  <c r="C89" i="1"/>
  <c r="E89" i="1" s="1"/>
  <c r="F89" i="1" s="1"/>
  <c r="A91" i="1"/>
  <c r="B90" i="1"/>
  <c r="E88" i="1"/>
  <c r="F88" i="1" s="1"/>
  <c r="D90" i="1" l="1"/>
  <c r="C90" i="1"/>
  <c r="E90" i="1" s="1"/>
  <c r="F90" i="1" s="1"/>
  <c r="A92" i="1"/>
  <c r="B91" i="1"/>
  <c r="D91" i="1" l="1"/>
  <c r="C91" i="1"/>
  <c r="E91" i="1" s="1"/>
  <c r="F91" i="1" s="1"/>
  <c r="A93" i="1"/>
  <c r="B92" i="1"/>
  <c r="D92" i="1" l="1"/>
  <c r="C92" i="1"/>
  <c r="E92" i="1" s="1"/>
  <c r="F92" i="1" s="1"/>
  <c r="A94" i="1"/>
  <c r="B93" i="1"/>
  <c r="C93" i="1" l="1"/>
  <c r="D93" i="1"/>
  <c r="A95" i="1"/>
  <c r="B94" i="1"/>
  <c r="D94" i="1" l="1"/>
  <c r="C94" i="1"/>
  <c r="E94" i="1" s="1"/>
  <c r="F94" i="1" s="1"/>
  <c r="A96" i="1"/>
  <c r="B95" i="1"/>
  <c r="E93" i="1"/>
  <c r="F93" i="1" s="1"/>
  <c r="A97" i="1" l="1"/>
  <c r="B96" i="1"/>
  <c r="D95" i="1"/>
  <c r="C95" i="1"/>
  <c r="E95" i="1" s="1"/>
  <c r="F95" i="1" s="1"/>
  <c r="D96" i="1" l="1"/>
  <c r="C96" i="1"/>
  <c r="E96" i="1" s="1"/>
  <c r="F96" i="1" s="1"/>
  <c r="A98" i="1"/>
  <c r="B97" i="1"/>
  <c r="D97" i="1" l="1"/>
  <c r="C97" i="1"/>
  <c r="E97" i="1" s="1"/>
  <c r="F97" i="1" s="1"/>
  <c r="A99" i="1"/>
  <c r="B98" i="1"/>
  <c r="D98" i="1" l="1"/>
  <c r="C98" i="1"/>
  <c r="E98" i="1" s="1"/>
  <c r="F98" i="1" s="1"/>
  <c r="A100" i="1"/>
  <c r="B99" i="1"/>
  <c r="D99" i="1" l="1"/>
  <c r="C99" i="1"/>
  <c r="E99" i="1" s="1"/>
  <c r="F99" i="1" s="1"/>
  <c r="A101" i="1"/>
  <c r="B100" i="1"/>
  <c r="D100" i="1" l="1"/>
  <c r="C100" i="1"/>
  <c r="E100" i="1" s="1"/>
  <c r="F100" i="1" s="1"/>
  <c r="A102" i="1"/>
  <c r="B101" i="1"/>
  <c r="A103" i="1" l="1"/>
  <c r="B102" i="1"/>
  <c r="D101" i="1"/>
  <c r="C101" i="1"/>
  <c r="E101" i="1" s="1"/>
  <c r="F101" i="1" s="1"/>
  <c r="D102" i="1" l="1"/>
  <c r="C102" i="1"/>
  <c r="E102" i="1" s="1"/>
  <c r="F102" i="1" s="1"/>
  <c r="A104" i="1"/>
  <c r="B103" i="1"/>
  <c r="D103" i="1" l="1"/>
  <c r="C103" i="1"/>
  <c r="E103" i="1" s="1"/>
  <c r="F103" i="1" s="1"/>
  <c r="A105" i="1"/>
  <c r="B104" i="1"/>
  <c r="D104" i="1" l="1"/>
  <c r="C104" i="1"/>
  <c r="E104" i="1" s="1"/>
  <c r="F104" i="1" s="1"/>
  <c r="A106" i="1"/>
  <c r="B105" i="1"/>
  <c r="D105" i="1" l="1"/>
  <c r="C105" i="1"/>
  <c r="E105" i="1" s="1"/>
  <c r="F105" i="1" s="1"/>
  <c r="A107" i="1"/>
  <c r="B106" i="1"/>
  <c r="A108" i="1" l="1"/>
  <c r="B107" i="1"/>
  <c r="C106" i="1"/>
  <c r="D106" i="1"/>
  <c r="E106" i="1" l="1"/>
  <c r="F106" i="1" s="1"/>
  <c r="D107" i="1"/>
  <c r="C107" i="1"/>
  <c r="E107" i="1" s="1"/>
  <c r="F107" i="1" s="1"/>
  <c r="A109" i="1"/>
  <c r="B108" i="1"/>
  <c r="C108" i="1" l="1"/>
  <c r="D108" i="1"/>
  <c r="A110" i="1"/>
  <c r="B109" i="1"/>
  <c r="D109" i="1" l="1"/>
  <c r="C109" i="1"/>
  <c r="E109" i="1" s="1"/>
  <c r="F109" i="1" s="1"/>
  <c r="A111" i="1"/>
  <c r="B110" i="1"/>
  <c r="E108" i="1"/>
  <c r="F108" i="1" s="1"/>
  <c r="D110" i="1" l="1"/>
  <c r="C110" i="1"/>
  <c r="E110" i="1" s="1"/>
  <c r="F110" i="1" s="1"/>
  <c r="A112" i="1"/>
  <c r="B111" i="1"/>
  <c r="A113" i="1" l="1"/>
  <c r="B112" i="1"/>
  <c r="D111" i="1"/>
  <c r="C111" i="1"/>
  <c r="E111" i="1" s="1"/>
  <c r="F111" i="1" s="1"/>
  <c r="D112" i="1" l="1"/>
  <c r="C112" i="1"/>
  <c r="E112" i="1" s="1"/>
  <c r="F112" i="1" s="1"/>
  <c r="A114" i="1"/>
  <c r="B113" i="1"/>
  <c r="D113" i="1" l="1"/>
  <c r="C113" i="1"/>
  <c r="E113" i="1" s="1"/>
  <c r="F113" i="1" s="1"/>
  <c r="A115" i="1"/>
  <c r="B114" i="1"/>
  <c r="D114" i="1" l="1"/>
  <c r="C114" i="1"/>
  <c r="E114" i="1" s="1"/>
  <c r="F114" i="1" s="1"/>
  <c r="A116" i="1"/>
  <c r="B115" i="1"/>
  <c r="D115" i="1" l="1"/>
  <c r="C115" i="1"/>
  <c r="E115" i="1" s="1"/>
  <c r="F115" i="1" s="1"/>
  <c r="A117" i="1"/>
  <c r="B116" i="1"/>
  <c r="A118" i="1" l="1"/>
  <c r="B117" i="1"/>
  <c r="D116" i="1"/>
  <c r="C116" i="1"/>
  <c r="E116" i="1" s="1"/>
  <c r="F116" i="1" s="1"/>
  <c r="C117" i="1" l="1"/>
  <c r="D117" i="1"/>
  <c r="A119" i="1"/>
  <c r="B118" i="1"/>
  <c r="D118" i="1" l="1"/>
  <c r="C118" i="1"/>
  <c r="E118" i="1" s="1"/>
  <c r="F118" i="1" s="1"/>
  <c r="A120" i="1"/>
  <c r="B119" i="1"/>
  <c r="E117" i="1"/>
  <c r="F117" i="1" s="1"/>
  <c r="D119" i="1" l="1"/>
  <c r="C119" i="1"/>
  <c r="E119" i="1" s="1"/>
  <c r="F119" i="1" s="1"/>
  <c r="A121" i="1"/>
  <c r="B120" i="1"/>
  <c r="D120" i="1" l="1"/>
  <c r="C120" i="1"/>
  <c r="E120" i="1" s="1"/>
  <c r="F120" i="1" s="1"/>
  <c r="A122" i="1"/>
  <c r="B121" i="1"/>
  <c r="A123" i="1" l="1"/>
  <c r="B122" i="1"/>
  <c r="D121" i="1"/>
  <c r="C121" i="1"/>
  <c r="E121" i="1" l="1"/>
  <c r="F121" i="1" s="1"/>
  <c r="D122" i="1"/>
  <c r="C122" i="1"/>
  <c r="E122" i="1" s="1"/>
  <c r="F122" i="1" s="1"/>
  <c r="A124" i="1"/>
  <c r="B123" i="1"/>
  <c r="D123" i="1" l="1"/>
  <c r="C123" i="1"/>
  <c r="A125" i="1"/>
  <c r="B124" i="1"/>
  <c r="D124" i="1" l="1"/>
  <c r="C124" i="1"/>
  <c r="A126" i="1"/>
  <c r="B125" i="1"/>
  <c r="E123" i="1"/>
  <c r="F123" i="1" s="1"/>
  <c r="D125" i="1" l="1"/>
  <c r="C125" i="1"/>
  <c r="E125" i="1" s="1"/>
  <c r="F125" i="1" s="1"/>
  <c r="A127" i="1"/>
  <c r="B126" i="1"/>
  <c r="E124" i="1"/>
  <c r="F124" i="1" s="1"/>
  <c r="D126" i="1" l="1"/>
  <c r="C126" i="1"/>
  <c r="E126" i="1" s="1"/>
  <c r="F126" i="1" s="1"/>
  <c r="A128" i="1"/>
  <c r="B127" i="1"/>
  <c r="A129" i="1" l="1"/>
  <c r="B128" i="1"/>
  <c r="D127" i="1"/>
  <c r="C127" i="1"/>
  <c r="E127" i="1" s="1"/>
  <c r="F127" i="1" s="1"/>
  <c r="D128" i="1" l="1"/>
  <c r="C128" i="1"/>
  <c r="A130" i="1"/>
  <c r="B129" i="1"/>
  <c r="A131" i="1" l="1"/>
  <c r="B130" i="1"/>
  <c r="D129" i="1"/>
  <c r="C129" i="1"/>
  <c r="E129" i="1" s="1"/>
  <c r="F129" i="1" s="1"/>
  <c r="E128" i="1"/>
  <c r="F128" i="1" s="1"/>
  <c r="C130" i="1" l="1"/>
  <c r="D130" i="1"/>
  <c r="A132" i="1"/>
  <c r="B131" i="1"/>
  <c r="A133" i="1" l="1"/>
  <c r="B132" i="1"/>
  <c r="D131" i="1"/>
  <c r="C131" i="1"/>
  <c r="E131" i="1" s="1"/>
  <c r="F131" i="1" s="1"/>
  <c r="E130" i="1"/>
  <c r="F130" i="1" s="1"/>
  <c r="C132" i="1" l="1"/>
  <c r="D132" i="1"/>
  <c r="A134" i="1"/>
  <c r="B133" i="1"/>
  <c r="D133" i="1" l="1"/>
  <c r="C133" i="1"/>
  <c r="E133" i="1" s="1"/>
  <c r="F133" i="1" s="1"/>
  <c r="A135" i="1"/>
  <c r="B134" i="1"/>
  <c r="E132" i="1"/>
  <c r="F132" i="1" s="1"/>
  <c r="D134" i="1" l="1"/>
  <c r="C134" i="1"/>
  <c r="E134" i="1" s="1"/>
  <c r="F134" i="1" s="1"/>
  <c r="A136" i="1"/>
  <c r="B135" i="1"/>
  <c r="D135" i="1" l="1"/>
  <c r="C135" i="1"/>
  <c r="E135" i="1" s="1"/>
  <c r="F135" i="1" s="1"/>
  <c r="A137" i="1"/>
  <c r="B136" i="1"/>
  <c r="C136" i="1" l="1"/>
  <c r="D136" i="1"/>
  <c r="A138" i="1"/>
  <c r="B137" i="1"/>
  <c r="D137" i="1" l="1"/>
  <c r="C137" i="1"/>
  <c r="E137" i="1" s="1"/>
  <c r="F137" i="1" s="1"/>
  <c r="A139" i="1"/>
  <c r="B138" i="1"/>
  <c r="E136" i="1"/>
  <c r="F136" i="1" s="1"/>
  <c r="A140" i="1" l="1"/>
  <c r="B139" i="1"/>
  <c r="D138" i="1"/>
  <c r="C138" i="1"/>
  <c r="E138" i="1" s="1"/>
  <c r="F138" i="1" s="1"/>
  <c r="D139" i="1" l="1"/>
  <c r="C139" i="1"/>
  <c r="E139" i="1" s="1"/>
  <c r="F139" i="1" s="1"/>
  <c r="A141" i="1"/>
  <c r="B140" i="1"/>
  <c r="A142" i="1" l="1"/>
  <c r="B141" i="1"/>
  <c r="D140" i="1"/>
  <c r="C140" i="1"/>
  <c r="E140" i="1" l="1"/>
  <c r="F140" i="1" s="1"/>
  <c r="C141" i="1"/>
  <c r="D141" i="1"/>
  <c r="A143" i="1"/>
  <c r="B142" i="1"/>
  <c r="D142" i="1" l="1"/>
  <c r="C142" i="1"/>
  <c r="E142" i="1" s="1"/>
  <c r="F142" i="1" s="1"/>
  <c r="A144" i="1"/>
  <c r="B143" i="1"/>
  <c r="E141" i="1"/>
  <c r="F141" i="1" s="1"/>
  <c r="D143" i="1" l="1"/>
  <c r="C143" i="1"/>
  <c r="E143" i="1" s="1"/>
  <c r="F143" i="1" s="1"/>
  <c r="A145" i="1"/>
  <c r="B144" i="1"/>
  <c r="D144" i="1" l="1"/>
  <c r="C144" i="1"/>
  <c r="E144" i="1" s="1"/>
  <c r="F144" i="1" s="1"/>
  <c r="A146" i="1"/>
  <c r="B145" i="1"/>
  <c r="D145" i="1" l="1"/>
  <c r="C145" i="1"/>
  <c r="E145" i="1" s="1"/>
  <c r="F145" i="1" s="1"/>
  <c r="A147" i="1"/>
  <c r="B146" i="1"/>
  <c r="A148" i="1" l="1"/>
  <c r="B147" i="1"/>
  <c r="D146" i="1"/>
  <c r="C146" i="1"/>
  <c r="E146" i="1" s="1"/>
  <c r="F146" i="1" s="1"/>
  <c r="D147" i="1" l="1"/>
  <c r="C147" i="1"/>
  <c r="E147" i="1" s="1"/>
  <c r="F147" i="1" s="1"/>
  <c r="A149" i="1"/>
  <c r="B148" i="1"/>
  <c r="C148" i="1" l="1"/>
  <c r="D148" i="1"/>
  <c r="A150" i="1"/>
  <c r="B149" i="1"/>
  <c r="C149" i="1" l="1"/>
  <c r="D149" i="1"/>
  <c r="A151" i="1"/>
  <c r="B150" i="1"/>
  <c r="E148" i="1"/>
  <c r="F148" i="1" s="1"/>
  <c r="D150" i="1" l="1"/>
  <c r="C150" i="1"/>
  <c r="E150" i="1" s="1"/>
  <c r="F150" i="1" s="1"/>
  <c r="A152" i="1"/>
  <c r="B151" i="1"/>
  <c r="E149" i="1"/>
  <c r="F149" i="1" s="1"/>
  <c r="D151" i="1" l="1"/>
  <c r="C151" i="1"/>
  <c r="E151" i="1" s="1"/>
  <c r="F151" i="1" s="1"/>
  <c r="A153" i="1"/>
  <c r="B152" i="1"/>
  <c r="A154" i="1" l="1"/>
  <c r="B153" i="1"/>
  <c r="D152" i="1"/>
  <c r="C152" i="1"/>
  <c r="E152" i="1" s="1"/>
  <c r="F152" i="1" s="1"/>
  <c r="C153" i="1" l="1"/>
  <c r="D153" i="1"/>
  <c r="A155" i="1"/>
  <c r="B154" i="1"/>
  <c r="C154" i="1" l="1"/>
  <c r="D154" i="1"/>
  <c r="A156" i="1"/>
  <c r="B155" i="1"/>
  <c r="E153" i="1"/>
  <c r="F153" i="1" s="1"/>
  <c r="C155" i="1" l="1"/>
  <c r="D155" i="1"/>
  <c r="A157" i="1"/>
  <c r="B156" i="1"/>
  <c r="E154" i="1"/>
  <c r="F154" i="1" s="1"/>
  <c r="D156" i="1" l="1"/>
  <c r="C156" i="1"/>
  <c r="A158" i="1"/>
  <c r="B157" i="1"/>
  <c r="E155" i="1"/>
  <c r="F155" i="1" s="1"/>
  <c r="C157" i="1" l="1"/>
  <c r="D157" i="1"/>
  <c r="A159" i="1"/>
  <c r="B158" i="1"/>
  <c r="E156" i="1"/>
  <c r="F156" i="1" s="1"/>
  <c r="A160" i="1" l="1"/>
  <c r="B159" i="1"/>
  <c r="D158" i="1"/>
  <c r="C158" i="1"/>
  <c r="E158" i="1" s="1"/>
  <c r="F158" i="1" s="1"/>
  <c r="E157" i="1"/>
  <c r="F157" i="1" s="1"/>
  <c r="D159" i="1" l="1"/>
  <c r="C159" i="1"/>
  <c r="E159" i="1" s="1"/>
  <c r="F159" i="1" s="1"/>
  <c r="A161" i="1"/>
  <c r="B160" i="1"/>
  <c r="C160" i="1" l="1"/>
  <c r="D160" i="1"/>
  <c r="A162" i="1"/>
  <c r="B161" i="1"/>
  <c r="A163" i="1" l="1"/>
  <c r="B162" i="1"/>
  <c r="D161" i="1"/>
  <c r="C161" i="1"/>
  <c r="E161" i="1" s="1"/>
  <c r="F161" i="1" s="1"/>
  <c r="E160" i="1"/>
  <c r="F160" i="1" s="1"/>
  <c r="D162" i="1" l="1"/>
  <c r="C162" i="1"/>
  <c r="E162" i="1" s="1"/>
  <c r="F162" i="1" s="1"/>
  <c r="A164" i="1"/>
  <c r="B163" i="1"/>
  <c r="A165" i="1" l="1"/>
  <c r="B164" i="1"/>
  <c r="C163" i="1"/>
  <c r="D163" i="1"/>
  <c r="E163" i="1" l="1"/>
  <c r="F163" i="1" s="1"/>
  <c r="C164" i="1"/>
  <c r="D164" i="1"/>
  <c r="A166" i="1"/>
  <c r="B165" i="1"/>
  <c r="D165" i="1" l="1"/>
  <c r="C165" i="1"/>
  <c r="E165" i="1" s="1"/>
  <c r="F165" i="1" s="1"/>
  <c r="A167" i="1"/>
  <c r="B166" i="1"/>
  <c r="E164" i="1"/>
  <c r="F164" i="1" s="1"/>
  <c r="C166" i="1" l="1"/>
  <c r="D166" i="1"/>
  <c r="A168" i="1"/>
  <c r="B167" i="1"/>
  <c r="A169" i="1" l="1"/>
  <c r="B168" i="1"/>
  <c r="C167" i="1"/>
  <c r="E167" i="1" s="1"/>
  <c r="F167" i="1" s="1"/>
  <c r="D167" i="1"/>
  <c r="E166" i="1"/>
  <c r="F166" i="1" s="1"/>
  <c r="D168" i="1" l="1"/>
  <c r="C168" i="1"/>
  <c r="E168" i="1" s="1"/>
  <c r="F168" i="1" s="1"/>
  <c r="A170" i="1"/>
  <c r="B169" i="1"/>
  <c r="A171" i="1" l="1"/>
  <c r="B170" i="1"/>
  <c r="D169" i="1"/>
  <c r="C169" i="1"/>
  <c r="E169" i="1" s="1"/>
  <c r="F169" i="1" s="1"/>
  <c r="D170" i="1" l="1"/>
  <c r="C170" i="1"/>
  <c r="E170" i="1" s="1"/>
  <c r="F170" i="1" s="1"/>
  <c r="A172" i="1"/>
  <c r="B171" i="1"/>
  <c r="D171" i="1" l="1"/>
  <c r="C171" i="1"/>
  <c r="E171" i="1" s="1"/>
  <c r="F171" i="1" s="1"/>
  <c r="A173" i="1"/>
  <c r="B172" i="1"/>
  <c r="C172" i="1" l="1"/>
  <c r="D172" i="1"/>
  <c r="A174" i="1"/>
  <c r="B173" i="1"/>
  <c r="C173" i="1" l="1"/>
  <c r="D173" i="1"/>
  <c r="A175" i="1"/>
  <c r="B174" i="1"/>
  <c r="E172" i="1"/>
  <c r="F172" i="1" s="1"/>
  <c r="D174" i="1" l="1"/>
  <c r="C174" i="1"/>
  <c r="E174" i="1" s="1"/>
  <c r="F174" i="1" s="1"/>
  <c r="A176" i="1"/>
  <c r="B175" i="1"/>
  <c r="E173" i="1"/>
  <c r="F173" i="1" s="1"/>
  <c r="C175" i="1" l="1"/>
  <c r="D175" i="1"/>
  <c r="A177" i="1"/>
  <c r="B176" i="1"/>
  <c r="D176" i="1" l="1"/>
  <c r="C176" i="1"/>
  <c r="E176" i="1" s="1"/>
  <c r="F176" i="1" s="1"/>
  <c r="A178" i="1"/>
  <c r="B177" i="1"/>
  <c r="E175" i="1"/>
  <c r="F175" i="1" s="1"/>
  <c r="D177" i="1" l="1"/>
  <c r="C177" i="1"/>
  <c r="E177" i="1" s="1"/>
  <c r="F177" i="1" s="1"/>
  <c r="A179" i="1"/>
  <c r="B178" i="1"/>
  <c r="C178" i="1" l="1"/>
  <c r="D178" i="1"/>
  <c r="A180" i="1"/>
  <c r="B179" i="1"/>
  <c r="D179" i="1" l="1"/>
  <c r="C179" i="1"/>
  <c r="E179" i="1" s="1"/>
  <c r="F179" i="1" s="1"/>
  <c r="A181" i="1"/>
  <c r="B180" i="1"/>
  <c r="E178" i="1"/>
  <c r="F178" i="1" s="1"/>
  <c r="A182" i="1" l="1"/>
  <c r="B181" i="1"/>
  <c r="D180" i="1"/>
  <c r="C180" i="1"/>
  <c r="E180" i="1" s="1"/>
  <c r="F180" i="1" s="1"/>
  <c r="C181" i="1" l="1"/>
  <c r="D181" i="1"/>
  <c r="A183" i="1"/>
  <c r="B182" i="1"/>
  <c r="A184" i="1" l="1"/>
  <c r="B183" i="1"/>
  <c r="D182" i="1"/>
  <c r="C182" i="1"/>
  <c r="E181" i="1"/>
  <c r="F181" i="1" s="1"/>
  <c r="A185" i="1" l="1"/>
  <c r="B184" i="1"/>
  <c r="E182" i="1"/>
  <c r="F182" i="1" s="1"/>
  <c r="C183" i="1"/>
  <c r="D183" i="1"/>
  <c r="E183" i="1" l="1"/>
  <c r="F183" i="1" s="1"/>
  <c r="C184" i="1"/>
  <c r="E184" i="1" s="1"/>
  <c r="F184" i="1" s="1"/>
  <c r="D184" i="1"/>
  <c r="A186" i="1"/>
  <c r="B185" i="1"/>
  <c r="D185" i="1" l="1"/>
  <c r="C185" i="1"/>
  <c r="E185" i="1" s="1"/>
  <c r="F185" i="1" s="1"/>
  <c r="A187" i="1"/>
  <c r="B186" i="1"/>
  <c r="A188" i="1" l="1"/>
  <c r="B187" i="1"/>
  <c r="C186" i="1"/>
  <c r="E186" i="1" s="1"/>
  <c r="F186" i="1" s="1"/>
  <c r="D186" i="1"/>
  <c r="D187" i="1" l="1"/>
  <c r="C187" i="1"/>
  <c r="E187" i="1" s="1"/>
  <c r="F187" i="1" s="1"/>
  <c r="A189" i="1"/>
  <c r="B188" i="1"/>
  <c r="D188" i="1" l="1"/>
  <c r="C188" i="1"/>
  <c r="E188" i="1" s="1"/>
  <c r="F188" i="1" s="1"/>
  <c r="A190" i="1"/>
  <c r="B189" i="1"/>
  <c r="C189" i="1" l="1"/>
  <c r="D189" i="1"/>
  <c r="A191" i="1"/>
  <c r="B190" i="1"/>
  <c r="C190" i="1" l="1"/>
  <c r="D190" i="1"/>
  <c r="A192" i="1"/>
  <c r="B191" i="1"/>
  <c r="E189" i="1"/>
  <c r="F189" i="1" s="1"/>
  <c r="D191" i="1" l="1"/>
  <c r="C191" i="1"/>
  <c r="E191" i="1" s="1"/>
  <c r="F191" i="1" s="1"/>
  <c r="A193" i="1"/>
  <c r="B192" i="1"/>
  <c r="E190" i="1"/>
  <c r="F190" i="1" s="1"/>
  <c r="D192" i="1" l="1"/>
  <c r="C192" i="1"/>
  <c r="E192" i="1" s="1"/>
  <c r="F192" i="1" s="1"/>
  <c r="A194" i="1"/>
  <c r="B193" i="1"/>
  <c r="C193" i="1" l="1"/>
  <c r="D193" i="1"/>
  <c r="A195" i="1"/>
  <c r="B194" i="1"/>
  <c r="D194" i="1" l="1"/>
  <c r="C194" i="1"/>
  <c r="E194" i="1" s="1"/>
  <c r="F194" i="1" s="1"/>
  <c r="A196" i="1"/>
  <c r="B195" i="1"/>
  <c r="E193" i="1"/>
  <c r="F193" i="1" s="1"/>
  <c r="D195" i="1" l="1"/>
  <c r="C195" i="1"/>
  <c r="E195" i="1" s="1"/>
  <c r="F195" i="1" s="1"/>
  <c r="A197" i="1"/>
  <c r="B196" i="1"/>
  <c r="C196" i="1" l="1"/>
  <c r="D196" i="1"/>
  <c r="A198" i="1"/>
  <c r="B197" i="1"/>
  <c r="A199" i="1" l="1"/>
  <c r="B198" i="1"/>
  <c r="D197" i="1"/>
  <c r="C197" i="1"/>
  <c r="E197" i="1" s="1"/>
  <c r="F197" i="1" s="1"/>
  <c r="E196" i="1"/>
  <c r="F196" i="1" s="1"/>
  <c r="D198" i="1" l="1"/>
  <c r="C198" i="1"/>
  <c r="E198" i="1" s="1"/>
  <c r="F198" i="1" s="1"/>
  <c r="A200" i="1"/>
  <c r="B199" i="1"/>
  <c r="C199" i="1" l="1"/>
  <c r="D199" i="1"/>
  <c r="A201" i="1"/>
  <c r="B200" i="1"/>
  <c r="A202" i="1" l="1"/>
  <c r="B201" i="1"/>
  <c r="D200" i="1"/>
  <c r="C200" i="1"/>
  <c r="E200" i="1" s="1"/>
  <c r="F200" i="1" s="1"/>
  <c r="E199" i="1"/>
  <c r="F199" i="1" s="1"/>
  <c r="C201" i="1" l="1"/>
  <c r="D201" i="1"/>
  <c r="A203" i="1"/>
  <c r="B202" i="1"/>
  <c r="C202" i="1" l="1"/>
  <c r="D202" i="1"/>
  <c r="A204" i="1"/>
  <c r="B203" i="1"/>
  <c r="E201" i="1"/>
  <c r="F201" i="1" s="1"/>
  <c r="D203" i="1" l="1"/>
  <c r="C203" i="1"/>
  <c r="E203" i="1" s="1"/>
  <c r="F203" i="1" s="1"/>
  <c r="A205" i="1"/>
  <c r="B204" i="1"/>
  <c r="E202" i="1"/>
  <c r="F202" i="1" s="1"/>
  <c r="D204" i="1" l="1"/>
  <c r="C204" i="1"/>
  <c r="E204" i="1" s="1"/>
  <c r="F204" i="1" s="1"/>
  <c r="A206" i="1"/>
  <c r="B205" i="1"/>
  <c r="A207" i="1" l="1"/>
  <c r="B206" i="1"/>
  <c r="D205" i="1"/>
  <c r="C205" i="1"/>
  <c r="E205" i="1" s="1"/>
  <c r="F205" i="1" s="1"/>
  <c r="D206" i="1" l="1"/>
  <c r="C206" i="1"/>
  <c r="E206" i="1" s="1"/>
  <c r="F206" i="1" s="1"/>
  <c r="A208" i="1"/>
  <c r="B207" i="1"/>
  <c r="C207" i="1" l="1"/>
  <c r="D207" i="1"/>
  <c r="A209" i="1"/>
  <c r="B208" i="1"/>
  <c r="C208" i="1" l="1"/>
  <c r="D208" i="1"/>
  <c r="A210" i="1"/>
  <c r="B209" i="1"/>
  <c r="E207" i="1"/>
  <c r="F207" i="1" s="1"/>
  <c r="D209" i="1" l="1"/>
  <c r="C209" i="1"/>
  <c r="E209" i="1" s="1"/>
  <c r="F209" i="1" s="1"/>
  <c r="A211" i="1"/>
  <c r="B210" i="1"/>
  <c r="E208" i="1"/>
  <c r="F208" i="1" s="1"/>
  <c r="A212" i="1" l="1"/>
  <c r="B211" i="1"/>
  <c r="D210" i="1"/>
  <c r="C210" i="1"/>
  <c r="E210" i="1" s="1"/>
  <c r="F210" i="1" s="1"/>
  <c r="D211" i="1" l="1"/>
  <c r="C211" i="1"/>
  <c r="E211" i="1" s="1"/>
  <c r="F211" i="1" s="1"/>
  <c r="A213" i="1"/>
  <c r="B212" i="1"/>
  <c r="C212" i="1" l="1"/>
  <c r="D212" i="1"/>
  <c r="A214" i="1"/>
  <c r="B213" i="1"/>
  <c r="D213" i="1" l="1"/>
  <c r="C213" i="1"/>
  <c r="E213" i="1" s="1"/>
  <c r="F213" i="1" s="1"/>
  <c r="A215" i="1"/>
  <c r="B214" i="1"/>
  <c r="E212" i="1"/>
  <c r="F212" i="1" s="1"/>
  <c r="A216" i="1" l="1"/>
  <c r="B215" i="1"/>
  <c r="C214" i="1"/>
  <c r="E214" i="1" s="1"/>
  <c r="F214" i="1" s="1"/>
  <c r="D214" i="1"/>
  <c r="D215" i="1" l="1"/>
  <c r="C215" i="1"/>
  <c r="E215" i="1" s="1"/>
  <c r="F215" i="1" s="1"/>
  <c r="A217" i="1"/>
  <c r="B216" i="1"/>
  <c r="D216" i="1" l="1"/>
  <c r="C216" i="1"/>
  <c r="E216" i="1" s="1"/>
  <c r="F216" i="1" s="1"/>
  <c r="A218" i="1"/>
  <c r="B217" i="1"/>
  <c r="D217" i="1" l="1"/>
  <c r="C217" i="1"/>
  <c r="E217" i="1" s="1"/>
  <c r="F217" i="1" s="1"/>
  <c r="A219" i="1"/>
  <c r="B218" i="1"/>
  <c r="D218" i="1" l="1"/>
  <c r="C218" i="1"/>
  <c r="E218" i="1" s="1"/>
  <c r="F218" i="1" s="1"/>
  <c r="A220" i="1"/>
  <c r="B219" i="1"/>
  <c r="C219" i="1" l="1"/>
  <c r="D219" i="1"/>
  <c r="A221" i="1"/>
  <c r="B220" i="1"/>
  <c r="A222" i="1" l="1"/>
  <c r="B221" i="1"/>
  <c r="C220" i="1"/>
  <c r="D220" i="1"/>
  <c r="E219" i="1"/>
  <c r="F219" i="1" s="1"/>
  <c r="E220" i="1" l="1"/>
  <c r="F220" i="1" s="1"/>
  <c r="D221" i="1"/>
  <c r="C221" i="1"/>
  <c r="E221" i="1" s="1"/>
  <c r="F221" i="1" s="1"/>
  <c r="A223" i="1"/>
  <c r="B222" i="1"/>
  <c r="D222" i="1" l="1"/>
  <c r="C222" i="1"/>
  <c r="E222" i="1" s="1"/>
  <c r="F222" i="1" s="1"/>
  <c r="A224" i="1"/>
  <c r="B223" i="1"/>
  <c r="A225" i="1" l="1"/>
  <c r="B224" i="1"/>
  <c r="D223" i="1"/>
  <c r="C223" i="1"/>
  <c r="E223" i="1" s="1"/>
  <c r="F223" i="1" s="1"/>
  <c r="D224" i="1" l="1"/>
  <c r="C224" i="1"/>
  <c r="E224" i="1" s="1"/>
  <c r="F224" i="1" s="1"/>
  <c r="A226" i="1"/>
  <c r="B225" i="1"/>
  <c r="A227" i="1" l="1"/>
  <c r="B226" i="1"/>
  <c r="C225" i="1"/>
  <c r="D225" i="1"/>
  <c r="E225" i="1" l="1"/>
  <c r="F225" i="1" s="1"/>
  <c r="C226" i="1"/>
  <c r="E226" i="1" s="1"/>
  <c r="F226" i="1" s="1"/>
  <c r="D226" i="1"/>
  <c r="A228" i="1"/>
  <c r="B227" i="1"/>
  <c r="D227" i="1" l="1"/>
  <c r="C227" i="1"/>
  <c r="E227" i="1" s="1"/>
  <c r="F227" i="1" s="1"/>
  <c r="A229" i="1"/>
  <c r="B228" i="1"/>
  <c r="D228" i="1" l="1"/>
  <c r="C228" i="1"/>
  <c r="E228" i="1" s="1"/>
  <c r="F228" i="1" s="1"/>
  <c r="A230" i="1"/>
  <c r="B229" i="1"/>
  <c r="D229" i="1" l="1"/>
  <c r="C229" i="1"/>
  <c r="E229" i="1" s="1"/>
  <c r="F229" i="1" s="1"/>
  <c r="A231" i="1"/>
  <c r="B230" i="1"/>
  <c r="D230" i="1" l="1"/>
  <c r="C230" i="1"/>
  <c r="E230" i="1" s="1"/>
  <c r="F230" i="1" s="1"/>
  <c r="A232" i="1"/>
  <c r="B231" i="1"/>
  <c r="D231" i="1" l="1"/>
  <c r="C231" i="1"/>
  <c r="E231" i="1" s="1"/>
  <c r="F231" i="1" s="1"/>
  <c r="A233" i="1"/>
  <c r="B232" i="1"/>
  <c r="C232" i="1" l="1"/>
  <c r="D232" i="1"/>
  <c r="A234" i="1"/>
  <c r="B233" i="1"/>
  <c r="A235" i="1" l="1"/>
  <c r="B234" i="1"/>
  <c r="D233" i="1"/>
  <c r="C233" i="1"/>
  <c r="E233" i="1" s="1"/>
  <c r="F233" i="1" s="1"/>
  <c r="E232" i="1"/>
  <c r="F232" i="1" s="1"/>
  <c r="D234" i="1" l="1"/>
  <c r="C234" i="1"/>
  <c r="E234" i="1" s="1"/>
  <c r="F234" i="1" s="1"/>
  <c r="A236" i="1"/>
  <c r="B235" i="1"/>
  <c r="A237" i="1" l="1"/>
  <c r="B236" i="1"/>
  <c r="D235" i="1"/>
  <c r="C235" i="1"/>
  <c r="E235" i="1" s="1"/>
  <c r="F235" i="1" s="1"/>
  <c r="D236" i="1" l="1"/>
  <c r="C236" i="1"/>
  <c r="E236" i="1" s="1"/>
  <c r="F236" i="1" s="1"/>
  <c r="A238" i="1"/>
  <c r="B237" i="1"/>
  <c r="D237" i="1" l="1"/>
  <c r="C237" i="1"/>
  <c r="E237" i="1" s="1"/>
  <c r="F237" i="1" s="1"/>
  <c r="A239" i="1"/>
  <c r="B238" i="1"/>
  <c r="A240" i="1" l="1"/>
  <c r="B239" i="1"/>
  <c r="C238" i="1"/>
  <c r="D238" i="1"/>
  <c r="E238" i="1" l="1"/>
  <c r="F238" i="1" s="1"/>
  <c r="D239" i="1"/>
  <c r="C239" i="1"/>
  <c r="E239" i="1" s="1"/>
  <c r="F239" i="1" s="1"/>
  <c r="A241" i="1"/>
  <c r="B240" i="1"/>
  <c r="D240" i="1" l="1"/>
  <c r="C240" i="1"/>
  <c r="E240" i="1" s="1"/>
  <c r="F240" i="1" s="1"/>
  <c r="A242" i="1"/>
  <c r="B241" i="1"/>
  <c r="D241" i="1" l="1"/>
  <c r="C241" i="1"/>
  <c r="E241" i="1" s="1"/>
  <c r="F241" i="1" s="1"/>
  <c r="A243" i="1"/>
  <c r="B242" i="1"/>
  <c r="D242" i="1" l="1"/>
  <c r="C242" i="1"/>
  <c r="E242" i="1" s="1"/>
  <c r="F242" i="1" s="1"/>
  <c r="A244" i="1"/>
  <c r="B243" i="1"/>
  <c r="A245" i="1" l="1"/>
  <c r="B244" i="1"/>
  <c r="D243" i="1"/>
  <c r="C243" i="1"/>
  <c r="E243" i="1" s="1"/>
  <c r="F243" i="1" s="1"/>
  <c r="A246" i="1" l="1"/>
  <c r="B245" i="1"/>
  <c r="C244" i="1"/>
  <c r="D244" i="1"/>
  <c r="E244" i="1" l="1"/>
  <c r="F244" i="1" s="1"/>
  <c r="C245" i="1"/>
  <c r="D245" i="1"/>
  <c r="A247" i="1"/>
  <c r="B246" i="1"/>
  <c r="D246" i="1" l="1"/>
  <c r="C246" i="1"/>
  <c r="E246" i="1" s="1"/>
  <c r="F246" i="1" s="1"/>
  <c r="A248" i="1"/>
  <c r="B247" i="1"/>
  <c r="E245" i="1"/>
  <c r="F245" i="1" s="1"/>
  <c r="D247" i="1" l="1"/>
  <c r="C247" i="1"/>
  <c r="E247" i="1" s="1"/>
  <c r="F247" i="1" s="1"/>
  <c r="A249" i="1"/>
  <c r="B248" i="1"/>
  <c r="D248" i="1" l="1"/>
  <c r="C248" i="1"/>
  <c r="E248" i="1" s="1"/>
  <c r="F248" i="1" s="1"/>
  <c r="A250" i="1"/>
  <c r="B249" i="1"/>
  <c r="D249" i="1" l="1"/>
  <c r="C249" i="1"/>
  <c r="E249" i="1" s="1"/>
  <c r="F249" i="1" s="1"/>
  <c r="A251" i="1"/>
  <c r="B250" i="1"/>
  <c r="C250" i="1" l="1"/>
  <c r="D250" i="1"/>
  <c r="A252" i="1"/>
  <c r="B251" i="1"/>
  <c r="D251" i="1" l="1"/>
  <c r="C251" i="1"/>
  <c r="E251" i="1" s="1"/>
  <c r="F251" i="1" s="1"/>
  <c r="A253" i="1"/>
  <c r="B252" i="1"/>
  <c r="E250" i="1"/>
  <c r="F250" i="1" s="1"/>
  <c r="A254" i="1" l="1"/>
  <c r="B253" i="1"/>
  <c r="D252" i="1"/>
  <c r="C252" i="1"/>
  <c r="E252" i="1" s="1"/>
  <c r="F252" i="1" s="1"/>
  <c r="D253" i="1" l="1"/>
  <c r="C253" i="1"/>
  <c r="E253" i="1" s="1"/>
  <c r="F253" i="1" s="1"/>
  <c r="A255" i="1"/>
  <c r="B254" i="1"/>
  <c r="D254" i="1" l="1"/>
  <c r="C254" i="1"/>
  <c r="E254" i="1" s="1"/>
  <c r="F254" i="1" s="1"/>
  <c r="A256" i="1"/>
  <c r="B255" i="1"/>
  <c r="D255" i="1" l="1"/>
  <c r="C255" i="1"/>
  <c r="E255" i="1" s="1"/>
  <c r="F255" i="1" s="1"/>
  <c r="A257" i="1"/>
  <c r="B256" i="1"/>
  <c r="C256" i="1" l="1"/>
  <c r="D256" i="1"/>
  <c r="A258" i="1"/>
  <c r="B257" i="1"/>
  <c r="D257" i="1" l="1"/>
  <c r="C257" i="1"/>
  <c r="E257" i="1" s="1"/>
  <c r="F257" i="1" s="1"/>
  <c r="A259" i="1"/>
  <c r="B258" i="1"/>
  <c r="E256" i="1"/>
  <c r="F256" i="1" s="1"/>
  <c r="C258" i="1" l="1"/>
  <c r="D258" i="1"/>
  <c r="A260" i="1"/>
  <c r="B259" i="1"/>
  <c r="A261" i="1" l="1"/>
  <c r="B260" i="1"/>
  <c r="D259" i="1"/>
  <c r="C259" i="1"/>
  <c r="E259" i="1" s="1"/>
  <c r="F259" i="1" s="1"/>
  <c r="E258" i="1"/>
  <c r="F258" i="1" s="1"/>
  <c r="D260" i="1" l="1"/>
  <c r="C260" i="1"/>
  <c r="E260" i="1" s="1"/>
  <c r="F260" i="1" s="1"/>
  <c r="A262" i="1"/>
  <c r="B261" i="1"/>
  <c r="D261" i="1" l="1"/>
  <c r="C261" i="1"/>
  <c r="E261" i="1" s="1"/>
  <c r="F261" i="1" s="1"/>
  <c r="A263" i="1"/>
  <c r="B262" i="1"/>
  <c r="A264" i="1" l="1"/>
  <c r="B263" i="1"/>
  <c r="C262" i="1"/>
  <c r="D262" i="1"/>
  <c r="E262" i="1" l="1"/>
  <c r="F262" i="1" s="1"/>
  <c r="D263" i="1"/>
  <c r="C263" i="1"/>
  <c r="E263" i="1" s="1"/>
  <c r="F263" i="1" s="1"/>
  <c r="A265" i="1"/>
  <c r="B264" i="1"/>
  <c r="D264" i="1" l="1"/>
  <c r="C264" i="1"/>
  <c r="E264" i="1" s="1"/>
  <c r="F264" i="1" s="1"/>
  <c r="A266" i="1"/>
  <c r="B265" i="1"/>
  <c r="D265" i="1" l="1"/>
  <c r="C265" i="1"/>
  <c r="E265" i="1" s="1"/>
  <c r="F265" i="1" s="1"/>
  <c r="A267" i="1"/>
  <c r="B266" i="1"/>
  <c r="A268" i="1" l="1"/>
  <c r="B267" i="1"/>
  <c r="D266" i="1"/>
  <c r="C266" i="1"/>
  <c r="E266" i="1" s="1"/>
  <c r="F266" i="1" s="1"/>
  <c r="D267" i="1" l="1"/>
  <c r="C267" i="1"/>
  <c r="E267" i="1" s="1"/>
  <c r="F267" i="1" s="1"/>
  <c r="A269" i="1"/>
  <c r="B268" i="1"/>
  <c r="C268" i="1" l="1"/>
  <c r="D268" i="1"/>
  <c r="A270" i="1"/>
  <c r="B269" i="1"/>
  <c r="D269" i="1" l="1"/>
  <c r="C269" i="1"/>
  <c r="E269" i="1" s="1"/>
  <c r="F269" i="1" s="1"/>
  <c r="A271" i="1"/>
  <c r="B270" i="1"/>
  <c r="E268" i="1"/>
  <c r="F268" i="1" s="1"/>
  <c r="D270" i="1" l="1"/>
  <c r="C270" i="1"/>
  <c r="E270" i="1" s="1"/>
  <c r="F270" i="1" s="1"/>
  <c r="A272" i="1"/>
  <c r="B271" i="1"/>
  <c r="C271" i="1" l="1"/>
  <c r="D271" i="1"/>
  <c r="A273" i="1"/>
  <c r="B272" i="1"/>
  <c r="C272" i="1" l="1"/>
  <c r="D272" i="1"/>
  <c r="A274" i="1"/>
  <c r="B273" i="1"/>
  <c r="E271" i="1"/>
  <c r="F271" i="1" s="1"/>
  <c r="A275" i="1" l="1"/>
  <c r="B274" i="1"/>
  <c r="D273" i="1"/>
  <c r="C273" i="1"/>
  <c r="E273" i="1" s="1"/>
  <c r="F273" i="1" s="1"/>
  <c r="E272" i="1"/>
  <c r="F272" i="1" s="1"/>
  <c r="D274" i="1" l="1"/>
  <c r="C274" i="1"/>
  <c r="A276" i="1"/>
  <c r="B275" i="1"/>
  <c r="D275" i="1" l="1"/>
  <c r="C275" i="1"/>
  <c r="E275" i="1" s="1"/>
  <c r="F275" i="1" s="1"/>
  <c r="A277" i="1"/>
  <c r="B276" i="1"/>
  <c r="E274" i="1"/>
  <c r="F274" i="1" s="1"/>
  <c r="D276" i="1" l="1"/>
  <c r="C276" i="1"/>
  <c r="E276" i="1" s="1"/>
  <c r="F276" i="1" s="1"/>
  <c r="A278" i="1"/>
  <c r="B277" i="1"/>
  <c r="D277" i="1" l="1"/>
  <c r="C277" i="1"/>
  <c r="E277" i="1" s="1"/>
  <c r="F277" i="1" s="1"/>
  <c r="A279" i="1"/>
  <c r="B278" i="1"/>
  <c r="C278" i="1" l="1"/>
  <c r="D278" i="1"/>
  <c r="A280" i="1"/>
  <c r="B279" i="1"/>
  <c r="D279" i="1" l="1"/>
  <c r="C279" i="1"/>
  <c r="E279" i="1" s="1"/>
  <c r="F279" i="1" s="1"/>
  <c r="A281" i="1"/>
  <c r="B280" i="1"/>
  <c r="E278" i="1"/>
  <c r="F278" i="1" s="1"/>
  <c r="A282" i="1" l="1"/>
  <c r="B281" i="1"/>
  <c r="D280" i="1"/>
  <c r="C280" i="1"/>
  <c r="E280" i="1" s="1"/>
  <c r="F280" i="1" s="1"/>
  <c r="C281" i="1" l="1"/>
  <c r="D281" i="1"/>
  <c r="A283" i="1"/>
  <c r="B282" i="1"/>
  <c r="D282" i="1" l="1"/>
  <c r="C282" i="1"/>
  <c r="E282" i="1" s="1"/>
  <c r="F282" i="1" s="1"/>
  <c r="A284" i="1"/>
  <c r="B283" i="1"/>
  <c r="E281" i="1"/>
  <c r="F281" i="1" s="1"/>
  <c r="A285" i="1" l="1"/>
  <c r="B284" i="1"/>
  <c r="D283" i="1"/>
  <c r="C283" i="1"/>
  <c r="E283" i="1" s="1"/>
  <c r="F283" i="1" s="1"/>
  <c r="C284" i="1" l="1"/>
  <c r="D284" i="1"/>
  <c r="A286" i="1"/>
  <c r="B285" i="1"/>
  <c r="D285" i="1" l="1"/>
  <c r="C285" i="1"/>
  <c r="E285" i="1" s="1"/>
  <c r="F285" i="1" s="1"/>
  <c r="A287" i="1"/>
  <c r="B286" i="1"/>
  <c r="E284" i="1"/>
  <c r="F284" i="1" s="1"/>
  <c r="D286" i="1" l="1"/>
  <c r="C286" i="1"/>
  <c r="E286" i="1" s="1"/>
  <c r="F286" i="1" s="1"/>
  <c r="A288" i="1"/>
  <c r="B287" i="1"/>
  <c r="D287" i="1" l="1"/>
  <c r="C287" i="1"/>
  <c r="E287" i="1" s="1"/>
  <c r="F287" i="1" s="1"/>
  <c r="A289" i="1"/>
  <c r="B288" i="1"/>
  <c r="D288" i="1" l="1"/>
  <c r="C288" i="1"/>
  <c r="E288" i="1" s="1"/>
  <c r="F288" i="1" s="1"/>
  <c r="A290" i="1"/>
  <c r="B289" i="1"/>
  <c r="D289" i="1" l="1"/>
  <c r="C289" i="1"/>
  <c r="E289" i="1" s="1"/>
  <c r="F289" i="1" s="1"/>
  <c r="A291" i="1"/>
  <c r="B290" i="1"/>
  <c r="C290" i="1" l="1"/>
  <c r="D290" i="1"/>
  <c r="A292" i="1"/>
  <c r="B291" i="1"/>
  <c r="D291" i="1" l="1"/>
  <c r="C291" i="1"/>
  <c r="A293" i="1"/>
  <c r="B292" i="1"/>
  <c r="E290" i="1"/>
  <c r="F290" i="1" s="1"/>
  <c r="D292" i="1" l="1"/>
  <c r="C292" i="1"/>
  <c r="A294" i="1"/>
  <c r="B293" i="1"/>
  <c r="E291" i="1"/>
  <c r="F291" i="1" s="1"/>
  <c r="D293" i="1" l="1"/>
  <c r="C293" i="1"/>
  <c r="E293" i="1" s="1"/>
  <c r="F293" i="1" s="1"/>
  <c r="E292" i="1"/>
  <c r="F292" i="1" s="1"/>
  <c r="A295" i="1"/>
  <c r="B294" i="1"/>
  <c r="C294" i="1" l="1"/>
  <c r="D294" i="1"/>
  <c r="A296" i="1"/>
  <c r="B295" i="1"/>
  <c r="D295" i="1" l="1"/>
  <c r="C295" i="1"/>
  <c r="E295" i="1" s="1"/>
  <c r="F295" i="1" s="1"/>
  <c r="A297" i="1"/>
  <c r="B296" i="1"/>
  <c r="E294" i="1"/>
  <c r="F294" i="1" s="1"/>
  <c r="C296" i="1" l="1"/>
  <c r="D296" i="1"/>
  <c r="A298" i="1"/>
  <c r="B297" i="1"/>
  <c r="D297" i="1" l="1"/>
  <c r="C297" i="1"/>
  <c r="E297" i="1" s="1"/>
  <c r="F297" i="1" s="1"/>
  <c r="A299" i="1"/>
  <c r="B298" i="1"/>
  <c r="E296" i="1"/>
  <c r="F296" i="1" s="1"/>
  <c r="A300" i="1" l="1"/>
  <c r="B299" i="1"/>
  <c r="D298" i="1"/>
  <c r="C298" i="1"/>
  <c r="E298" i="1" s="1"/>
  <c r="F298" i="1" s="1"/>
  <c r="D299" i="1" l="1"/>
  <c r="C299" i="1"/>
  <c r="E299" i="1" s="1"/>
  <c r="F299" i="1" s="1"/>
  <c r="A301" i="1"/>
  <c r="B300" i="1"/>
  <c r="D300" i="1" l="1"/>
  <c r="C300" i="1"/>
  <c r="E300" i="1" s="1"/>
  <c r="F300" i="1" s="1"/>
  <c r="A302" i="1"/>
  <c r="B301" i="1"/>
  <c r="D301" i="1" l="1"/>
  <c r="C301" i="1"/>
  <c r="E301" i="1" s="1"/>
  <c r="F301" i="1" s="1"/>
  <c r="A303" i="1"/>
  <c r="B302" i="1"/>
  <c r="A304" i="1" l="1"/>
  <c r="B303" i="1"/>
  <c r="C302" i="1"/>
  <c r="E302" i="1" s="1"/>
  <c r="F302" i="1" s="1"/>
  <c r="D302" i="1"/>
  <c r="D303" i="1" l="1"/>
  <c r="C303" i="1"/>
  <c r="E303" i="1" s="1"/>
  <c r="F303" i="1" s="1"/>
  <c r="A305" i="1"/>
  <c r="B304" i="1"/>
  <c r="D304" i="1" l="1"/>
  <c r="C304" i="1"/>
  <c r="E304" i="1" s="1"/>
  <c r="F304" i="1" s="1"/>
  <c r="A306" i="1"/>
  <c r="B305" i="1"/>
  <c r="D305" i="1" l="1"/>
  <c r="C305" i="1"/>
  <c r="E305" i="1" s="1"/>
  <c r="F305" i="1" s="1"/>
  <c r="A307" i="1"/>
  <c r="B306" i="1"/>
  <c r="D306" i="1" l="1"/>
  <c r="C306" i="1"/>
  <c r="E306" i="1" s="1"/>
  <c r="F306" i="1" s="1"/>
  <c r="A308" i="1"/>
  <c r="B307" i="1"/>
  <c r="A309" i="1" l="1"/>
  <c r="B308" i="1"/>
  <c r="C307" i="1"/>
  <c r="D307" i="1"/>
  <c r="E307" i="1" l="1"/>
  <c r="F307" i="1" s="1"/>
  <c r="C308" i="1"/>
  <c r="E308" i="1" s="1"/>
  <c r="F308" i="1" s="1"/>
  <c r="D308" i="1"/>
  <c r="A310" i="1"/>
  <c r="B309" i="1"/>
  <c r="D309" i="1" l="1"/>
  <c r="C309" i="1"/>
  <c r="E309" i="1" s="1"/>
  <c r="F309" i="1" s="1"/>
  <c r="A311" i="1"/>
  <c r="B310" i="1"/>
  <c r="A312" i="1" l="1"/>
  <c r="B311" i="1"/>
  <c r="D310" i="1"/>
  <c r="C310" i="1"/>
  <c r="E310" i="1" s="1"/>
  <c r="F310" i="1" s="1"/>
  <c r="D311" i="1" l="1"/>
  <c r="C311" i="1"/>
  <c r="E311" i="1" s="1"/>
  <c r="F311" i="1" s="1"/>
  <c r="A313" i="1"/>
  <c r="B312" i="1"/>
  <c r="A314" i="1" l="1"/>
  <c r="B313" i="1"/>
  <c r="D312" i="1"/>
  <c r="C312" i="1"/>
  <c r="E312" i="1" s="1"/>
  <c r="F312" i="1" s="1"/>
  <c r="D313" i="1" l="1"/>
  <c r="C313" i="1"/>
  <c r="E313" i="1" s="1"/>
  <c r="F313" i="1" s="1"/>
  <c r="A315" i="1"/>
  <c r="B314" i="1"/>
  <c r="C314" i="1" l="1"/>
  <c r="E314" i="1" s="1"/>
  <c r="F314" i="1" s="1"/>
  <c r="D314" i="1"/>
  <c r="A316" i="1"/>
  <c r="B315" i="1"/>
  <c r="D315" i="1" l="1"/>
  <c r="C315" i="1"/>
  <c r="E315" i="1" s="1"/>
  <c r="F315" i="1" s="1"/>
  <c r="A317" i="1"/>
  <c r="B316" i="1"/>
  <c r="A318" i="1" l="1"/>
  <c r="B317" i="1"/>
  <c r="C316" i="1"/>
  <c r="D316" i="1"/>
  <c r="E316" i="1" l="1"/>
  <c r="F316" i="1" s="1"/>
  <c r="D317" i="1"/>
  <c r="C317" i="1"/>
  <c r="E317" i="1" s="1"/>
  <c r="F317" i="1" s="1"/>
  <c r="A319" i="1"/>
  <c r="B318" i="1"/>
  <c r="D318" i="1" l="1"/>
  <c r="C318" i="1"/>
  <c r="E318" i="1" s="1"/>
  <c r="F318" i="1" s="1"/>
  <c r="A320" i="1"/>
  <c r="B319" i="1"/>
  <c r="A321" i="1" l="1"/>
  <c r="B320" i="1"/>
  <c r="D319" i="1"/>
  <c r="C319" i="1"/>
  <c r="E319" i="1" s="1"/>
  <c r="F319" i="1" s="1"/>
  <c r="C320" i="1" l="1"/>
  <c r="D320" i="1"/>
  <c r="A322" i="1"/>
  <c r="B321" i="1"/>
  <c r="A323" i="1" l="1"/>
  <c r="B322" i="1"/>
  <c r="D321" i="1"/>
  <c r="C321" i="1"/>
  <c r="E321" i="1" s="1"/>
  <c r="F321" i="1" s="1"/>
  <c r="E320" i="1"/>
  <c r="F320" i="1" s="1"/>
  <c r="D322" i="1" l="1"/>
  <c r="C322" i="1"/>
  <c r="E322" i="1" s="1"/>
  <c r="F322" i="1" s="1"/>
  <c r="A324" i="1"/>
  <c r="B323" i="1"/>
  <c r="D323" i="1" l="1"/>
  <c r="C323" i="1"/>
  <c r="E323" i="1" s="1"/>
  <c r="F323" i="1" s="1"/>
  <c r="A325" i="1"/>
  <c r="B324" i="1"/>
  <c r="D324" i="1" l="1"/>
  <c r="C324" i="1"/>
  <c r="E324" i="1" s="1"/>
  <c r="F324" i="1" s="1"/>
  <c r="A326" i="1"/>
  <c r="B325" i="1"/>
  <c r="D325" i="1" l="1"/>
  <c r="C325" i="1"/>
  <c r="E325" i="1" s="1"/>
  <c r="F325" i="1" s="1"/>
  <c r="A327" i="1"/>
  <c r="B326" i="1"/>
  <c r="A328" i="1" l="1"/>
  <c r="B327" i="1"/>
  <c r="C326" i="1"/>
  <c r="D326" i="1"/>
  <c r="C327" i="1" l="1"/>
  <c r="D327" i="1"/>
  <c r="E326" i="1"/>
  <c r="F326" i="1" s="1"/>
  <c r="A329" i="1"/>
  <c r="B328" i="1"/>
  <c r="A330" i="1" l="1"/>
  <c r="B329" i="1"/>
  <c r="D328" i="1"/>
  <c r="C328" i="1"/>
  <c r="E328" i="1" s="1"/>
  <c r="F328" i="1" s="1"/>
  <c r="E327" i="1"/>
  <c r="F327" i="1" s="1"/>
  <c r="D329" i="1" l="1"/>
  <c r="C329" i="1"/>
  <c r="E329" i="1" s="1"/>
  <c r="F329" i="1" s="1"/>
  <c r="A331" i="1"/>
  <c r="B330" i="1"/>
  <c r="D330" i="1" l="1"/>
  <c r="C330" i="1"/>
  <c r="E330" i="1" s="1"/>
  <c r="F330" i="1" s="1"/>
  <c r="A332" i="1"/>
  <c r="B331" i="1"/>
  <c r="D331" i="1" l="1"/>
  <c r="C331" i="1"/>
  <c r="E331" i="1" s="1"/>
  <c r="F331" i="1" s="1"/>
  <c r="A333" i="1"/>
  <c r="B332" i="1"/>
  <c r="C332" i="1" l="1"/>
  <c r="D332" i="1"/>
  <c r="A334" i="1"/>
  <c r="B333" i="1"/>
  <c r="D333" i="1" l="1"/>
  <c r="C333" i="1"/>
  <c r="E333" i="1" s="1"/>
  <c r="F333" i="1" s="1"/>
  <c r="A335" i="1"/>
  <c r="B334" i="1"/>
  <c r="E332" i="1"/>
  <c r="F332" i="1" s="1"/>
  <c r="D334" i="1" l="1"/>
  <c r="C334" i="1"/>
  <c r="E334" i="1" s="1"/>
  <c r="F334" i="1" s="1"/>
  <c r="A336" i="1"/>
  <c r="B335" i="1"/>
  <c r="D335" i="1" l="1"/>
  <c r="C335" i="1"/>
  <c r="E335" i="1" s="1"/>
  <c r="F335" i="1" s="1"/>
  <c r="A337" i="1"/>
  <c r="B336" i="1"/>
  <c r="D336" i="1" l="1"/>
  <c r="C336" i="1"/>
  <c r="E336" i="1" s="1"/>
  <c r="F336" i="1" s="1"/>
  <c r="A338" i="1"/>
  <c r="B337" i="1"/>
  <c r="D337" i="1" l="1"/>
  <c r="C337" i="1"/>
  <c r="E337" i="1" s="1"/>
  <c r="F337" i="1" s="1"/>
  <c r="A339" i="1"/>
  <c r="B338" i="1"/>
  <c r="A340" i="1" l="1"/>
  <c r="B339" i="1"/>
  <c r="C338" i="1"/>
  <c r="D338" i="1"/>
  <c r="E338" i="1" l="1"/>
  <c r="F338" i="1" s="1"/>
  <c r="D339" i="1"/>
  <c r="C339" i="1"/>
  <c r="E339" i="1" s="1"/>
  <c r="F339" i="1" s="1"/>
  <c r="A341" i="1"/>
  <c r="B340" i="1"/>
  <c r="C340" i="1" l="1"/>
  <c r="D340" i="1"/>
  <c r="A342" i="1"/>
  <c r="B341" i="1"/>
  <c r="D341" i="1" l="1"/>
  <c r="C341" i="1"/>
  <c r="E341" i="1" s="1"/>
  <c r="F341" i="1" s="1"/>
  <c r="A343" i="1"/>
  <c r="B342" i="1"/>
  <c r="E340" i="1"/>
  <c r="F340" i="1" s="1"/>
  <c r="D342" i="1" l="1"/>
  <c r="C342" i="1"/>
  <c r="E342" i="1" s="1"/>
  <c r="F342" i="1" s="1"/>
  <c r="A344" i="1"/>
  <c r="B343" i="1"/>
  <c r="A345" i="1" l="1"/>
  <c r="B344" i="1"/>
  <c r="D343" i="1"/>
  <c r="C343" i="1"/>
  <c r="E343" i="1" s="1"/>
  <c r="F343" i="1" s="1"/>
  <c r="C344" i="1" l="1"/>
  <c r="D344" i="1"/>
  <c r="A346" i="1"/>
  <c r="B345" i="1"/>
  <c r="A347" i="1" l="1"/>
  <c r="B346" i="1"/>
  <c r="D345" i="1"/>
  <c r="C345" i="1"/>
  <c r="E345" i="1" s="1"/>
  <c r="F345" i="1" s="1"/>
  <c r="E344" i="1"/>
  <c r="F344" i="1" s="1"/>
  <c r="D346" i="1" l="1"/>
  <c r="C346" i="1"/>
  <c r="E346" i="1" s="1"/>
  <c r="F346" i="1" s="1"/>
  <c r="A348" i="1"/>
  <c r="B347" i="1"/>
  <c r="D347" i="1" l="1"/>
  <c r="C347" i="1"/>
  <c r="E347" i="1" s="1"/>
  <c r="F347" i="1" s="1"/>
  <c r="A349" i="1"/>
  <c r="B348" i="1"/>
  <c r="D348" i="1" l="1"/>
  <c r="C348" i="1"/>
  <c r="E348" i="1" s="1"/>
  <c r="F348" i="1" s="1"/>
  <c r="A350" i="1"/>
  <c r="B349" i="1"/>
  <c r="D349" i="1" l="1"/>
  <c r="C349" i="1"/>
  <c r="E349" i="1" s="1"/>
  <c r="F349" i="1" s="1"/>
  <c r="A351" i="1"/>
  <c r="B350" i="1"/>
  <c r="C350" i="1" l="1"/>
  <c r="D350" i="1"/>
  <c r="A352" i="1"/>
  <c r="B351" i="1"/>
  <c r="D351" i="1" l="1"/>
  <c r="C351" i="1"/>
  <c r="E351" i="1" s="1"/>
  <c r="F351" i="1" s="1"/>
  <c r="A353" i="1"/>
  <c r="B352" i="1"/>
  <c r="E350" i="1"/>
  <c r="F350" i="1" s="1"/>
  <c r="D352" i="1" l="1"/>
  <c r="C352" i="1"/>
  <c r="E352" i="1" s="1"/>
  <c r="F352" i="1" s="1"/>
  <c r="A354" i="1"/>
  <c r="B353" i="1"/>
  <c r="C353" i="1" l="1"/>
  <c r="D353" i="1"/>
  <c r="A355" i="1"/>
  <c r="B354" i="1"/>
  <c r="D354" i="1" l="1"/>
  <c r="C354" i="1"/>
  <c r="E354" i="1" s="1"/>
  <c r="F354" i="1" s="1"/>
  <c r="A356" i="1"/>
  <c r="B355" i="1"/>
  <c r="E353" i="1"/>
  <c r="F353" i="1" s="1"/>
  <c r="D355" i="1" l="1"/>
  <c r="C355" i="1"/>
  <c r="E355" i="1" s="1"/>
  <c r="F355" i="1" s="1"/>
  <c r="A357" i="1"/>
  <c r="B356" i="1"/>
  <c r="C356" i="1" l="1"/>
  <c r="D356" i="1"/>
  <c r="A358" i="1"/>
  <c r="B357" i="1"/>
  <c r="C357" i="1" l="1"/>
  <c r="D357" i="1"/>
  <c r="A359" i="1"/>
  <c r="B358" i="1"/>
  <c r="E356" i="1"/>
  <c r="F356" i="1" s="1"/>
  <c r="D358" i="1" l="1"/>
  <c r="C358" i="1"/>
  <c r="E358" i="1" s="1"/>
  <c r="F358" i="1" s="1"/>
  <c r="A360" i="1"/>
  <c r="B359" i="1"/>
  <c r="E357" i="1"/>
  <c r="F357" i="1" s="1"/>
  <c r="D359" i="1" l="1"/>
  <c r="C359" i="1"/>
  <c r="E359" i="1" s="1"/>
  <c r="F359" i="1" s="1"/>
  <c r="A361" i="1"/>
  <c r="B360" i="1"/>
  <c r="A362" i="1" l="1"/>
  <c r="B361" i="1"/>
  <c r="D360" i="1"/>
  <c r="C360" i="1"/>
  <c r="E360" i="1" s="1"/>
  <c r="F360" i="1" s="1"/>
  <c r="D361" i="1" l="1"/>
  <c r="C361" i="1"/>
  <c r="E361" i="1" s="1"/>
  <c r="F361" i="1" s="1"/>
  <c r="A363" i="1"/>
  <c r="B362" i="1"/>
  <c r="C362" i="1" l="1"/>
  <c r="D362" i="1"/>
  <c r="A364" i="1"/>
  <c r="B363" i="1"/>
  <c r="D363" i="1" l="1"/>
  <c r="C363" i="1"/>
  <c r="E363" i="1" s="1"/>
  <c r="F363" i="1" s="1"/>
  <c r="A365" i="1"/>
  <c r="B364" i="1"/>
  <c r="E362" i="1"/>
  <c r="F362" i="1" s="1"/>
  <c r="C364" i="1" l="1"/>
  <c r="D364" i="1"/>
  <c r="A366" i="1"/>
  <c r="B365" i="1"/>
  <c r="D365" i="1" l="1"/>
  <c r="C365" i="1"/>
  <c r="E365" i="1" s="1"/>
  <c r="F365" i="1" s="1"/>
  <c r="A367" i="1"/>
  <c r="B366" i="1"/>
  <c r="E364" i="1"/>
  <c r="F364" i="1" s="1"/>
  <c r="A368" i="1" l="1"/>
  <c r="B367" i="1"/>
  <c r="C366" i="1"/>
  <c r="D366" i="1"/>
  <c r="E366" i="1" l="1"/>
  <c r="F366" i="1" s="1"/>
  <c r="D367" i="1"/>
  <c r="C367" i="1"/>
  <c r="E367" i="1" s="1"/>
  <c r="F367" i="1" s="1"/>
  <c r="A369" i="1"/>
  <c r="B368" i="1"/>
  <c r="A370" i="1" l="1"/>
  <c r="B369" i="1"/>
  <c r="C368" i="1"/>
  <c r="D368" i="1"/>
  <c r="E368" i="1" l="1"/>
  <c r="F368" i="1" s="1"/>
  <c r="D369" i="1"/>
  <c r="C369" i="1"/>
  <c r="E369" i="1" s="1"/>
  <c r="F369" i="1" s="1"/>
  <c r="A371" i="1"/>
  <c r="B370" i="1"/>
  <c r="D370" i="1" l="1"/>
  <c r="C370" i="1"/>
  <c r="E370" i="1" s="1"/>
  <c r="F370" i="1" s="1"/>
  <c r="A372" i="1"/>
  <c r="B371" i="1"/>
  <c r="C371" i="1" l="1"/>
  <c r="D371" i="1"/>
  <c r="A373" i="1"/>
  <c r="B372" i="1"/>
  <c r="D372" i="1" l="1"/>
  <c r="C372" i="1"/>
  <c r="E372" i="1" s="1"/>
  <c r="F372" i="1" s="1"/>
  <c r="A374" i="1"/>
  <c r="B373" i="1"/>
  <c r="E371" i="1"/>
  <c r="F371" i="1" s="1"/>
  <c r="C373" i="1" l="1"/>
  <c r="E373" i="1" s="1"/>
  <c r="F373" i="1" s="1"/>
  <c r="D373" i="1"/>
  <c r="A375" i="1"/>
  <c r="B374" i="1"/>
  <c r="C374" i="1" l="1"/>
  <c r="D374" i="1"/>
  <c r="A376" i="1"/>
  <c r="B375" i="1"/>
  <c r="D375" i="1" l="1"/>
  <c r="C375" i="1"/>
  <c r="E375" i="1" s="1"/>
  <c r="F375" i="1" s="1"/>
  <c r="A377" i="1"/>
  <c r="B376" i="1"/>
  <c r="E374" i="1"/>
  <c r="F374" i="1" s="1"/>
  <c r="D376" i="1" l="1"/>
  <c r="C376" i="1"/>
  <c r="E376" i="1" s="1"/>
  <c r="F376" i="1" s="1"/>
  <c r="A378" i="1"/>
  <c r="B377" i="1"/>
  <c r="D377" i="1" l="1"/>
  <c r="C377" i="1"/>
  <c r="E377" i="1" s="1"/>
  <c r="F377" i="1" s="1"/>
  <c r="A379" i="1"/>
  <c r="B378" i="1"/>
  <c r="A380" i="1" l="1"/>
  <c r="B379" i="1"/>
  <c r="D378" i="1"/>
  <c r="C378" i="1"/>
  <c r="E378" i="1" l="1"/>
  <c r="F378" i="1" s="1"/>
  <c r="D379" i="1"/>
  <c r="C379" i="1"/>
  <c r="E379" i="1" s="1"/>
  <c r="F379" i="1" s="1"/>
  <c r="A381" i="1"/>
  <c r="B380" i="1"/>
  <c r="C380" i="1" l="1"/>
  <c r="D380" i="1"/>
  <c r="A382" i="1"/>
  <c r="B381" i="1"/>
  <c r="C381" i="1" l="1"/>
  <c r="D381" i="1"/>
  <c r="A383" i="1"/>
  <c r="B382" i="1"/>
  <c r="E380" i="1"/>
  <c r="F380" i="1" s="1"/>
  <c r="D382" i="1" l="1"/>
  <c r="C382" i="1"/>
  <c r="E382" i="1" s="1"/>
  <c r="F382" i="1" s="1"/>
  <c r="A384" i="1"/>
  <c r="B383" i="1"/>
  <c r="E381" i="1"/>
  <c r="F381" i="1" s="1"/>
  <c r="C383" i="1" l="1"/>
  <c r="E383" i="1" s="1"/>
  <c r="F383" i="1" s="1"/>
  <c r="D383" i="1"/>
  <c r="A385" i="1"/>
  <c r="B384" i="1"/>
  <c r="D384" i="1" l="1"/>
  <c r="C384" i="1"/>
  <c r="E384" i="1" s="1"/>
  <c r="F384" i="1" s="1"/>
  <c r="A386" i="1"/>
  <c r="B385" i="1"/>
  <c r="D385" i="1" l="1"/>
  <c r="C385" i="1"/>
  <c r="E385" i="1" s="1"/>
  <c r="F385" i="1" s="1"/>
  <c r="A387" i="1"/>
  <c r="B386" i="1"/>
  <c r="C386" i="1" l="1"/>
  <c r="D386" i="1"/>
  <c r="A388" i="1"/>
  <c r="B387" i="1"/>
  <c r="D387" i="1" l="1"/>
  <c r="C387" i="1"/>
  <c r="E387" i="1" s="1"/>
  <c r="F387" i="1" s="1"/>
  <c r="A389" i="1"/>
  <c r="B388" i="1"/>
  <c r="E386" i="1"/>
  <c r="F386" i="1" s="1"/>
  <c r="C388" i="1" l="1"/>
  <c r="D388" i="1"/>
  <c r="A390" i="1"/>
  <c r="B389" i="1"/>
  <c r="C389" i="1" l="1"/>
  <c r="D389" i="1"/>
  <c r="A391" i="1"/>
  <c r="B390" i="1"/>
  <c r="E388" i="1"/>
  <c r="F388" i="1" s="1"/>
  <c r="D390" i="1" l="1"/>
  <c r="C390" i="1"/>
  <c r="E390" i="1" s="1"/>
  <c r="F390" i="1" s="1"/>
  <c r="A392" i="1"/>
  <c r="B391" i="1"/>
  <c r="E389" i="1"/>
  <c r="F389" i="1" s="1"/>
  <c r="D391" i="1" l="1"/>
  <c r="C391" i="1"/>
  <c r="E391" i="1" s="1"/>
  <c r="F391" i="1" s="1"/>
  <c r="A393" i="1"/>
  <c r="B392" i="1"/>
  <c r="C392" i="1" l="1"/>
  <c r="D392" i="1"/>
  <c r="A394" i="1"/>
  <c r="B393" i="1"/>
  <c r="D393" i="1" l="1"/>
  <c r="C393" i="1"/>
  <c r="E393" i="1" s="1"/>
  <c r="F393" i="1" s="1"/>
  <c r="A395" i="1"/>
  <c r="B394" i="1"/>
  <c r="E392" i="1"/>
  <c r="F392" i="1" s="1"/>
  <c r="A396" i="1" l="1"/>
  <c r="B395" i="1"/>
  <c r="D394" i="1"/>
  <c r="C394" i="1"/>
  <c r="E394" i="1" s="1"/>
  <c r="F394" i="1" s="1"/>
  <c r="D395" i="1" l="1"/>
  <c r="C395" i="1"/>
  <c r="E395" i="1" s="1"/>
  <c r="F395" i="1" s="1"/>
  <c r="A397" i="1"/>
  <c r="B396" i="1"/>
  <c r="A398" i="1" l="1"/>
  <c r="B397" i="1"/>
  <c r="D396" i="1"/>
  <c r="C396" i="1"/>
  <c r="E396" i="1" s="1"/>
  <c r="F396" i="1" s="1"/>
  <c r="D397" i="1" l="1"/>
  <c r="C397" i="1"/>
  <c r="A399" i="1"/>
  <c r="B398" i="1"/>
  <c r="C398" i="1" l="1"/>
  <c r="D398" i="1"/>
  <c r="A400" i="1"/>
  <c r="B399" i="1"/>
  <c r="E397" i="1"/>
  <c r="F397" i="1" s="1"/>
  <c r="D399" i="1" l="1"/>
  <c r="C399" i="1"/>
  <c r="E399" i="1" s="1"/>
  <c r="F399" i="1" s="1"/>
  <c r="A401" i="1"/>
  <c r="B400" i="1"/>
  <c r="E398" i="1"/>
  <c r="F398" i="1" s="1"/>
  <c r="D400" i="1" l="1"/>
  <c r="C400" i="1"/>
  <c r="E400" i="1" s="1"/>
  <c r="F400" i="1" s="1"/>
  <c r="A402" i="1"/>
  <c r="B401" i="1"/>
  <c r="C401" i="1" l="1"/>
  <c r="D401" i="1"/>
  <c r="A403" i="1"/>
  <c r="B402" i="1"/>
  <c r="A404" i="1" l="1"/>
  <c r="B403" i="1"/>
  <c r="D402" i="1"/>
  <c r="C402" i="1"/>
  <c r="E402" i="1" s="1"/>
  <c r="F402" i="1" s="1"/>
  <c r="E401" i="1"/>
  <c r="F401" i="1" s="1"/>
  <c r="D403" i="1" l="1"/>
  <c r="C403" i="1"/>
  <c r="E403" i="1" s="1"/>
  <c r="F403" i="1" s="1"/>
  <c r="A405" i="1"/>
  <c r="B404" i="1"/>
  <c r="C404" i="1" l="1"/>
  <c r="D404" i="1"/>
  <c r="A406" i="1"/>
  <c r="B405" i="1"/>
  <c r="C405" i="1" l="1"/>
  <c r="E405" i="1" s="1"/>
  <c r="F405" i="1" s="1"/>
  <c r="D405" i="1"/>
  <c r="A407" i="1"/>
  <c r="B406" i="1"/>
  <c r="E404" i="1"/>
  <c r="F404" i="1" s="1"/>
  <c r="D406" i="1" l="1"/>
  <c r="C406" i="1"/>
  <c r="E406" i="1" s="1"/>
  <c r="F406" i="1" s="1"/>
  <c r="A408" i="1"/>
  <c r="B407" i="1"/>
  <c r="D407" i="1" l="1"/>
  <c r="C407" i="1"/>
  <c r="E407" i="1" s="1"/>
  <c r="F407" i="1" s="1"/>
  <c r="A409" i="1"/>
  <c r="B408" i="1"/>
  <c r="A410" i="1" l="1"/>
  <c r="B409" i="1"/>
  <c r="D408" i="1"/>
  <c r="C408" i="1"/>
  <c r="E408" i="1" s="1"/>
  <c r="F408" i="1" s="1"/>
  <c r="C409" i="1" l="1"/>
  <c r="D409" i="1"/>
  <c r="A411" i="1"/>
  <c r="B410" i="1"/>
  <c r="A412" i="1" l="1"/>
  <c r="B411" i="1"/>
  <c r="C410" i="1"/>
  <c r="D410" i="1"/>
  <c r="E409" i="1"/>
  <c r="F409" i="1" s="1"/>
  <c r="E410" i="1" l="1"/>
  <c r="F410" i="1" s="1"/>
  <c r="C411" i="1"/>
  <c r="D411" i="1"/>
  <c r="A413" i="1"/>
  <c r="B412" i="1"/>
  <c r="C412" i="1" l="1"/>
  <c r="D412" i="1"/>
  <c r="E411" i="1"/>
  <c r="F411" i="1" s="1"/>
  <c r="A414" i="1"/>
  <c r="B413" i="1"/>
  <c r="A415" i="1" l="1"/>
  <c r="B414" i="1"/>
  <c r="D413" i="1"/>
  <c r="C413" i="1"/>
  <c r="E413" i="1" s="1"/>
  <c r="F413" i="1" s="1"/>
  <c r="E412" i="1"/>
  <c r="F412" i="1" s="1"/>
  <c r="C414" i="1" l="1"/>
  <c r="D414" i="1"/>
  <c r="A416" i="1"/>
  <c r="B415" i="1"/>
  <c r="A417" i="1" l="1"/>
  <c r="B416" i="1"/>
  <c r="D415" i="1"/>
  <c r="C415" i="1"/>
  <c r="E415" i="1" s="1"/>
  <c r="F415" i="1" s="1"/>
  <c r="E414" i="1"/>
  <c r="F414" i="1" s="1"/>
  <c r="C416" i="1" l="1"/>
  <c r="E416" i="1" s="1"/>
  <c r="F416" i="1" s="1"/>
  <c r="D416" i="1"/>
  <c r="A418" i="1"/>
  <c r="B417" i="1"/>
  <c r="D417" i="1" l="1"/>
  <c r="C417" i="1"/>
  <c r="A419" i="1"/>
  <c r="B418" i="1"/>
  <c r="A420" i="1" l="1"/>
  <c r="B419" i="1"/>
  <c r="D418" i="1"/>
  <c r="C418" i="1"/>
  <c r="E418" i="1" s="1"/>
  <c r="F418" i="1" s="1"/>
  <c r="E417" i="1"/>
  <c r="F417" i="1" s="1"/>
  <c r="D419" i="1" l="1"/>
  <c r="C419" i="1"/>
  <c r="E419" i="1" s="1"/>
  <c r="F419" i="1" s="1"/>
  <c r="A421" i="1"/>
  <c r="B420" i="1"/>
  <c r="D420" i="1" l="1"/>
  <c r="C420" i="1"/>
  <c r="E420" i="1" s="1"/>
  <c r="F420" i="1" s="1"/>
  <c r="A422" i="1"/>
  <c r="B421" i="1"/>
  <c r="D421" i="1" l="1"/>
  <c r="C421" i="1"/>
  <c r="E421" i="1" s="1"/>
  <c r="F421" i="1" s="1"/>
  <c r="A423" i="1"/>
  <c r="B422" i="1"/>
  <c r="A424" i="1" l="1"/>
  <c r="B423" i="1"/>
  <c r="C422" i="1"/>
  <c r="D422" i="1"/>
  <c r="E422" i="1" l="1"/>
  <c r="F422" i="1" s="1"/>
  <c r="C423" i="1"/>
  <c r="D423" i="1"/>
  <c r="A425" i="1"/>
  <c r="B424" i="1"/>
  <c r="D424" i="1" l="1"/>
  <c r="C424" i="1"/>
  <c r="E424" i="1" s="1"/>
  <c r="F424" i="1" s="1"/>
  <c r="E423" i="1"/>
  <c r="F423" i="1" s="1"/>
  <c r="A426" i="1"/>
  <c r="B425" i="1"/>
  <c r="D425" i="1" l="1"/>
  <c r="C425" i="1"/>
  <c r="E425" i="1" s="1"/>
  <c r="F425" i="1" s="1"/>
  <c r="A427" i="1"/>
  <c r="B426" i="1"/>
  <c r="D426" i="1" l="1"/>
  <c r="C426" i="1"/>
  <c r="E426" i="1" s="1"/>
  <c r="F426" i="1" s="1"/>
  <c r="A428" i="1"/>
  <c r="B427" i="1"/>
  <c r="C427" i="1" l="1"/>
  <c r="D427" i="1"/>
  <c r="A429" i="1"/>
  <c r="B428" i="1"/>
  <c r="C428" i="1" l="1"/>
  <c r="D428" i="1"/>
  <c r="A430" i="1"/>
  <c r="B429" i="1"/>
  <c r="E427" i="1"/>
  <c r="F427" i="1" s="1"/>
  <c r="A431" i="1" l="1"/>
  <c r="B430" i="1"/>
  <c r="D429" i="1"/>
  <c r="C429" i="1"/>
  <c r="E428" i="1"/>
  <c r="F428" i="1" s="1"/>
  <c r="E429" i="1" l="1"/>
  <c r="F429" i="1" s="1"/>
  <c r="C430" i="1"/>
  <c r="D430" i="1"/>
  <c r="A432" i="1"/>
  <c r="B431" i="1"/>
  <c r="C431" i="1" l="1"/>
  <c r="D431" i="1"/>
  <c r="A433" i="1"/>
  <c r="B432" i="1"/>
  <c r="E430" i="1"/>
  <c r="F430" i="1" s="1"/>
  <c r="A434" i="1" l="1"/>
  <c r="B433" i="1"/>
  <c r="D432" i="1"/>
  <c r="C432" i="1"/>
  <c r="E431" i="1"/>
  <c r="F431" i="1" s="1"/>
  <c r="E432" i="1" l="1"/>
  <c r="F432" i="1" s="1"/>
  <c r="D433" i="1"/>
  <c r="C433" i="1"/>
  <c r="E433" i="1" s="1"/>
  <c r="F433" i="1" s="1"/>
  <c r="A435" i="1"/>
  <c r="B434" i="1"/>
  <c r="C434" i="1" l="1"/>
  <c r="D434" i="1"/>
  <c r="A436" i="1"/>
  <c r="B435" i="1"/>
  <c r="A437" i="1" l="1"/>
  <c r="B436" i="1"/>
  <c r="D435" i="1"/>
  <c r="C435" i="1"/>
  <c r="E435" i="1" s="1"/>
  <c r="F435" i="1" s="1"/>
  <c r="E434" i="1"/>
  <c r="F434" i="1" s="1"/>
  <c r="D436" i="1" l="1"/>
  <c r="C436" i="1"/>
  <c r="E436" i="1" s="1"/>
  <c r="F436" i="1" s="1"/>
  <c r="A438" i="1"/>
  <c r="B437" i="1"/>
  <c r="D437" i="1" l="1"/>
  <c r="C437" i="1"/>
  <c r="E437" i="1" s="1"/>
  <c r="F437" i="1" s="1"/>
  <c r="A439" i="1"/>
  <c r="B438" i="1"/>
  <c r="C438" i="1" l="1"/>
  <c r="D438" i="1"/>
  <c r="A440" i="1"/>
  <c r="B439" i="1"/>
  <c r="D439" i="1" l="1"/>
  <c r="C439" i="1"/>
  <c r="E439" i="1" s="1"/>
  <c r="F439" i="1" s="1"/>
  <c r="A441" i="1"/>
  <c r="B440" i="1"/>
  <c r="E438" i="1"/>
  <c r="F438" i="1" s="1"/>
  <c r="C440" i="1" l="1"/>
  <c r="D440" i="1"/>
  <c r="A442" i="1"/>
  <c r="B441" i="1"/>
  <c r="A443" i="1" l="1"/>
  <c r="B442" i="1"/>
  <c r="C441" i="1"/>
  <c r="D441" i="1"/>
  <c r="E440" i="1"/>
  <c r="F440" i="1" s="1"/>
  <c r="E441" i="1" l="1"/>
  <c r="F441" i="1" s="1"/>
  <c r="C442" i="1"/>
  <c r="D442" i="1"/>
  <c r="A444" i="1"/>
  <c r="B443" i="1"/>
  <c r="A445" i="1" l="1"/>
  <c r="B444" i="1"/>
  <c r="D443" i="1"/>
  <c r="C443" i="1"/>
  <c r="E442" i="1"/>
  <c r="F442" i="1" s="1"/>
  <c r="E443" i="1" l="1"/>
  <c r="F443" i="1" s="1"/>
  <c r="D444" i="1"/>
  <c r="C444" i="1"/>
  <c r="E444" i="1" s="1"/>
  <c r="F444" i="1" s="1"/>
  <c r="A446" i="1"/>
  <c r="B445" i="1"/>
  <c r="D445" i="1" l="1"/>
  <c r="C445" i="1"/>
  <c r="E445" i="1" s="1"/>
  <c r="F445" i="1" s="1"/>
  <c r="A447" i="1"/>
  <c r="B446" i="1"/>
  <c r="A448" i="1" l="1"/>
  <c r="B447" i="1"/>
  <c r="C446" i="1"/>
  <c r="D446" i="1"/>
  <c r="E446" i="1" l="1"/>
  <c r="F446" i="1" s="1"/>
  <c r="C447" i="1"/>
  <c r="E447" i="1" s="1"/>
  <c r="F447" i="1" s="1"/>
  <c r="D447" i="1"/>
  <c r="A449" i="1"/>
  <c r="B448" i="1"/>
  <c r="C448" i="1" l="1"/>
  <c r="D448" i="1"/>
  <c r="A450" i="1"/>
  <c r="B449" i="1"/>
  <c r="C449" i="1" l="1"/>
  <c r="D449" i="1"/>
  <c r="A451" i="1"/>
  <c r="B450" i="1"/>
  <c r="E448" i="1"/>
  <c r="F448" i="1" s="1"/>
  <c r="D450" i="1" l="1"/>
  <c r="C450" i="1"/>
  <c r="A452" i="1"/>
  <c r="B451" i="1"/>
  <c r="E449" i="1"/>
  <c r="F449" i="1" s="1"/>
  <c r="D451" i="1" l="1"/>
  <c r="C451" i="1"/>
  <c r="E451" i="1" s="1"/>
  <c r="F451" i="1" s="1"/>
  <c r="A453" i="1"/>
  <c r="B452" i="1"/>
  <c r="E450" i="1"/>
  <c r="F450" i="1" s="1"/>
  <c r="A454" i="1" l="1"/>
  <c r="B453" i="1"/>
  <c r="C452" i="1"/>
  <c r="D452" i="1"/>
  <c r="E452" i="1" l="1"/>
  <c r="F452" i="1" s="1"/>
  <c r="D453" i="1"/>
  <c r="C453" i="1"/>
  <c r="E453" i="1" s="1"/>
  <c r="F453" i="1" s="1"/>
  <c r="A455" i="1"/>
  <c r="B454" i="1"/>
  <c r="D454" i="1" l="1"/>
  <c r="C454" i="1"/>
  <c r="E454" i="1" s="1"/>
  <c r="F454" i="1" s="1"/>
  <c r="A456" i="1"/>
  <c r="B455" i="1"/>
  <c r="C455" i="1" l="1"/>
  <c r="D455" i="1"/>
  <c r="A457" i="1"/>
  <c r="B456" i="1"/>
  <c r="C456" i="1" l="1"/>
  <c r="D456" i="1"/>
  <c r="A458" i="1"/>
  <c r="B457" i="1"/>
  <c r="E455" i="1"/>
  <c r="F455" i="1" s="1"/>
  <c r="C457" i="1" l="1"/>
  <c r="E457" i="1" s="1"/>
  <c r="F457" i="1" s="1"/>
  <c r="D457" i="1"/>
  <c r="A459" i="1"/>
  <c r="B458" i="1"/>
  <c r="E456" i="1"/>
  <c r="F456" i="1" s="1"/>
  <c r="C458" i="1" l="1"/>
  <c r="E458" i="1" s="1"/>
  <c r="F458" i="1" s="1"/>
  <c r="D458" i="1"/>
  <c r="A460" i="1"/>
  <c r="B459" i="1"/>
  <c r="D459" i="1" l="1"/>
  <c r="C459" i="1"/>
  <c r="E459" i="1" s="1"/>
  <c r="F459" i="1" s="1"/>
  <c r="A461" i="1"/>
  <c r="B460" i="1"/>
  <c r="C460" i="1" l="1"/>
  <c r="D460" i="1"/>
  <c r="A462" i="1"/>
  <c r="B461" i="1"/>
  <c r="D461" i="1" l="1"/>
  <c r="C461" i="1"/>
  <c r="E461" i="1" s="1"/>
  <c r="F461" i="1" s="1"/>
  <c r="A463" i="1"/>
  <c r="B462" i="1"/>
  <c r="E460" i="1"/>
  <c r="F460" i="1" s="1"/>
  <c r="C462" i="1" l="1"/>
  <c r="D462" i="1"/>
  <c r="A464" i="1"/>
  <c r="B463" i="1"/>
  <c r="C463" i="1" l="1"/>
  <c r="D463" i="1"/>
  <c r="A465" i="1"/>
  <c r="B464" i="1"/>
  <c r="E462" i="1"/>
  <c r="F462" i="1" s="1"/>
  <c r="C464" i="1" l="1"/>
  <c r="D464" i="1"/>
  <c r="A466" i="1"/>
  <c r="B465" i="1"/>
  <c r="E463" i="1"/>
  <c r="F463" i="1" s="1"/>
  <c r="D465" i="1" l="1"/>
  <c r="C465" i="1"/>
  <c r="E465" i="1" s="1"/>
  <c r="F465" i="1" s="1"/>
  <c r="A467" i="1"/>
  <c r="B466" i="1"/>
  <c r="E464" i="1"/>
  <c r="F464" i="1" s="1"/>
  <c r="A468" i="1" l="1"/>
  <c r="B467" i="1"/>
  <c r="D466" i="1"/>
  <c r="C466" i="1"/>
  <c r="E466" i="1" s="1"/>
  <c r="F466" i="1" s="1"/>
  <c r="C467" i="1" l="1"/>
  <c r="E467" i="1" s="1"/>
  <c r="F467" i="1" s="1"/>
  <c r="D467" i="1"/>
  <c r="A469" i="1"/>
  <c r="B468" i="1"/>
  <c r="D468" i="1" l="1"/>
  <c r="C468" i="1"/>
  <c r="E468" i="1" s="1"/>
  <c r="F468" i="1" s="1"/>
  <c r="A470" i="1"/>
  <c r="B469" i="1"/>
  <c r="D469" i="1" l="1"/>
  <c r="C469" i="1"/>
  <c r="E469" i="1" s="1"/>
  <c r="F469" i="1" s="1"/>
  <c r="A471" i="1"/>
  <c r="B470" i="1"/>
  <c r="C470" i="1" l="1"/>
  <c r="D470" i="1"/>
  <c r="A472" i="1"/>
  <c r="B471" i="1"/>
  <c r="D471" i="1" l="1"/>
  <c r="C471" i="1"/>
  <c r="E471" i="1" s="1"/>
  <c r="F471" i="1" s="1"/>
  <c r="A473" i="1"/>
  <c r="B472" i="1"/>
  <c r="E470" i="1"/>
  <c r="F470" i="1" s="1"/>
  <c r="A474" i="1" l="1"/>
  <c r="B473" i="1"/>
  <c r="D472" i="1"/>
  <c r="C472" i="1"/>
  <c r="E472" i="1" s="1"/>
  <c r="F472" i="1" s="1"/>
  <c r="C473" i="1" l="1"/>
  <c r="D473" i="1"/>
  <c r="A475" i="1"/>
  <c r="B474" i="1"/>
  <c r="C474" i="1" l="1"/>
  <c r="D474" i="1"/>
  <c r="A476" i="1"/>
  <c r="B475" i="1"/>
  <c r="E473" i="1"/>
  <c r="F473" i="1" s="1"/>
  <c r="C475" i="1" l="1"/>
  <c r="D475" i="1"/>
  <c r="A477" i="1"/>
  <c r="B476" i="1"/>
  <c r="E474" i="1"/>
  <c r="F474" i="1" s="1"/>
  <c r="C476" i="1" l="1"/>
  <c r="D476" i="1"/>
  <c r="A478" i="1"/>
  <c r="B477" i="1"/>
  <c r="E475" i="1"/>
  <c r="F475" i="1" s="1"/>
  <c r="D477" i="1" l="1"/>
  <c r="C477" i="1"/>
  <c r="E477" i="1" s="1"/>
  <c r="F477" i="1" s="1"/>
  <c r="A479" i="1"/>
  <c r="B478" i="1"/>
  <c r="E476" i="1"/>
  <c r="F476" i="1" s="1"/>
  <c r="A480" i="1" l="1"/>
  <c r="B479" i="1"/>
  <c r="D478" i="1"/>
  <c r="C478" i="1"/>
  <c r="E478" i="1" s="1"/>
  <c r="F478" i="1" s="1"/>
  <c r="D479" i="1" l="1"/>
  <c r="C479" i="1"/>
  <c r="E479" i="1" s="1"/>
  <c r="F479" i="1" s="1"/>
  <c r="A481" i="1"/>
  <c r="B480" i="1"/>
  <c r="D480" i="1" l="1"/>
  <c r="C480" i="1"/>
  <c r="E480" i="1" s="1"/>
  <c r="F480" i="1" s="1"/>
  <c r="A482" i="1"/>
  <c r="B481" i="1"/>
  <c r="A483" i="1" l="1"/>
  <c r="B482" i="1"/>
  <c r="C481" i="1"/>
  <c r="D481" i="1"/>
  <c r="E481" i="1" l="1"/>
  <c r="F481" i="1" s="1"/>
  <c r="C482" i="1"/>
  <c r="D482" i="1"/>
  <c r="A484" i="1"/>
  <c r="B483" i="1"/>
  <c r="A485" i="1" l="1"/>
  <c r="B484" i="1"/>
  <c r="D483" i="1"/>
  <c r="C483" i="1"/>
  <c r="E483" i="1" s="1"/>
  <c r="F483" i="1" s="1"/>
  <c r="E482" i="1"/>
  <c r="F482" i="1" s="1"/>
  <c r="D484" i="1" l="1"/>
  <c r="C484" i="1"/>
  <c r="E484" i="1" s="1"/>
  <c r="F484" i="1" s="1"/>
  <c r="A486" i="1"/>
  <c r="B485" i="1"/>
  <c r="D485" i="1" l="1"/>
  <c r="C485" i="1"/>
  <c r="E485" i="1" s="1"/>
  <c r="F485" i="1" s="1"/>
  <c r="A487" i="1"/>
  <c r="B486" i="1"/>
  <c r="A488" i="1" l="1"/>
  <c r="B487" i="1"/>
  <c r="C486" i="1"/>
  <c r="D486" i="1"/>
  <c r="C487" i="1" l="1"/>
  <c r="E487" i="1" s="1"/>
  <c r="F487" i="1" s="1"/>
  <c r="D487" i="1"/>
  <c r="E486" i="1"/>
  <c r="F486" i="1" s="1"/>
  <c r="A489" i="1"/>
  <c r="B488" i="1"/>
  <c r="A490" i="1" l="1"/>
  <c r="B489" i="1"/>
  <c r="C488" i="1"/>
  <c r="D488" i="1"/>
  <c r="E488" i="1" l="1"/>
  <c r="F488" i="1" s="1"/>
  <c r="D489" i="1"/>
  <c r="C489" i="1"/>
  <c r="E489" i="1" s="1"/>
  <c r="F489" i="1" s="1"/>
  <c r="A491" i="1"/>
  <c r="B490" i="1"/>
  <c r="D490" i="1" l="1"/>
  <c r="C490" i="1"/>
  <c r="E490" i="1" s="1"/>
  <c r="F490" i="1" s="1"/>
  <c r="A492" i="1"/>
  <c r="B491" i="1"/>
  <c r="D491" i="1" l="1"/>
  <c r="C491" i="1"/>
  <c r="E491" i="1" s="1"/>
  <c r="F491" i="1" s="1"/>
  <c r="A493" i="1"/>
  <c r="B492" i="1"/>
  <c r="D492" i="1" l="1"/>
  <c r="C492" i="1"/>
  <c r="E492" i="1" s="1"/>
  <c r="F492" i="1" s="1"/>
  <c r="A494" i="1"/>
  <c r="B493" i="1"/>
  <c r="C493" i="1" l="1"/>
  <c r="D493" i="1"/>
  <c r="A495" i="1"/>
  <c r="B494" i="1"/>
  <c r="C494" i="1" l="1"/>
  <c r="D494" i="1"/>
  <c r="A496" i="1"/>
  <c r="B495" i="1"/>
  <c r="E493" i="1"/>
  <c r="F493" i="1" s="1"/>
  <c r="D495" i="1" l="1"/>
  <c r="C495" i="1"/>
  <c r="E495" i="1" s="1"/>
  <c r="F495" i="1" s="1"/>
  <c r="A497" i="1"/>
  <c r="B496" i="1"/>
  <c r="E494" i="1"/>
  <c r="F494" i="1" s="1"/>
  <c r="D496" i="1" l="1"/>
  <c r="C496" i="1"/>
  <c r="E496" i="1" s="1"/>
  <c r="F496" i="1" s="1"/>
  <c r="A498" i="1"/>
  <c r="B497" i="1"/>
  <c r="A499" i="1" l="1"/>
  <c r="B498" i="1"/>
  <c r="D497" i="1"/>
  <c r="C497" i="1"/>
  <c r="E497" i="1" s="1"/>
  <c r="F497" i="1" s="1"/>
  <c r="D498" i="1" l="1"/>
  <c r="C498" i="1"/>
  <c r="E498" i="1" s="1"/>
  <c r="F498" i="1" s="1"/>
  <c r="A500" i="1"/>
  <c r="B499" i="1"/>
  <c r="C499" i="1" l="1"/>
  <c r="D499" i="1"/>
  <c r="A501" i="1"/>
  <c r="B500" i="1"/>
  <c r="C500" i="1" l="1"/>
  <c r="D500" i="1"/>
  <c r="A502" i="1"/>
  <c r="B501" i="1"/>
  <c r="E499" i="1"/>
  <c r="F499" i="1" s="1"/>
  <c r="A503" i="1" l="1"/>
  <c r="B502" i="1"/>
  <c r="D501" i="1"/>
  <c r="C501" i="1"/>
  <c r="E501" i="1" s="1"/>
  <c r="F501" i="1" s="1"/>
  <c r="E500" i="1"/>
  <c r="F500" i="1" s="1"/>
  <c r="C502" i="1" l="1"/>
  <c r="D502" i="1"/>
  <c r="A504" i="1"/>
  <c r="B503" i="1"/>
  <c r="D503" i="1" l="1"/>
  <c r="C503" i="1"/>
  <c r="E503" i="1" s="1"/>
  <c r="F503" i="1" s="1"/>
  <c r="A505" i="1"/>
  <c r="B504" i="1"/>
  <c r="E502" i="1"/>
  <c r="F502" i="1" s="1"/>
  <c r="D504" i="1" l="1"/>
  <c r="C504" i="1"/>
  <c r="E504" i="1" s="1"/>
  <c r="F504" i="1" s="1"/>
  <c r="A506" i="1"/>
  <c r="B505" i="1"/>
  <c r="A507" i="1" l="1"/>
  <c r="B506" i="1"/>
  <c r="D505" i="1"/>
  <c r="C505" i="1"/>
  <c r="E505" i="1" s="1"/>
  <c r="F505" i="1" s="1"/>
  <c r="C506" i="1" l="1"/>
  <c r="D506" i="1"/>
  <c r="A508" i="1"/>
  <c r="B507" i="1"/>
  <c r="E506" i="1" l="1"/>
  <c r="F506" i="1" s="1"/>
  <c r="D507" i="1"/>
  <c r="C507" i="1"/>
  <c r="E507" i="1" s="1"/>
  <c r="F507" i="1" s="1"/>
  <c r="A509" i="1"/>
  <c r="B508" i="1"/>
  <c r="A510" i="1" l="1"/>
  <c r="B509" i="1"/>
  <c r="D508" i="1"/>
  <c r="C508" i="1"/>
  <c r="E508" i="1" s="1"/>
  <c r="F508" i="1" s="1"/>
  <c r="D509" i="1" l="1"/>
  <c r="C509" i="1"/>
  <c r="E509" i="1" s="1"/>
  <c r="F509" i="1" s="1"/>
  <c r="A511" i="1"/>
  <c r="B510" i="1"/>
  <c r="C510" i="1" l="1"/>
  <c r="D510" i="1"/>
  <c r="A512" i="1"/>
  <c r="B511" i="1"/>
  <c r="D511" i="1" l="1"/>
  <c r="C511" i="1"/>
  <c r="E511" i="1" s="1"/>
  <c r="F511" i="1" s="1"/>
  <c r="A513" i="1"/>
  <c r="B512" i="1"/>
  <c r="E510" i="1"/>
  <c r="F510" i="1" s="1"/>
  <c r="C512" i="1" l="1"/>
  <c r="D512" i="1"/>
  <c r="A514" i="1"/>
  <c r="B513" i="1"/>
  <c r="E512" i="1" l="1"/>
  <c r="F512" i="1" s="1"/>
  <c r="D513" i="1"/>
  <c r="C513" i="1"/>
  <c r="E513" i="1" s="1"/>
  <c r="F513" i="1" s="1"/>
  <c r="A515" i="1"/>
  <c r="B514" i="1"/>
  <c r="D514" i="1" l="1"/>
  <c r="C514" i="1"/>
  <c r="E514" i="1" s="1"/>
  <c r="F514" i="1" s="1"/>
  <c r="A516" i="1"/>
  <c r="B515" i="1"/>
  <c r="A517" i="1" l="1"/>
  <c r="B516" i="1"/>
  <c r="D515" i="1"/>
  <c r="C515" i="1"/>
  <c r="E515" i="1" s="1"/>
  <c r="F515" i="1" s="1"/>
  <c r="D516" i="1" l="1"/>
  <c r="C516" i="1"/>
  <c r="E516" i="1" s="1"/>
  <c r="F516" i="1" s="1"/>
  <c r="A518" i="1"/>
  <c r="B517" i="1"/>
  <c r="D517" i="1" l="1"/>
  <c r="C517" i="1"/>
  <c r="E517" i="1" s="1"/>
  <c r="F517" i="1" s="1"/>
  <c r="A519" i="1"/>
  <c r="B518" i="1"/>
  <c r="A520" i="1" l="1"/>
  <c r="B519" i="1"/>
  <c r="C518" i="1"/>
  <c r="E518" i="1" s="1"/>
  <c r="F518" i="1" s="1"/>
  <c r="D518" i="1"/>
  <c r="C519" i="1" l="1"/>
  <c r="D519" i="1"/>
  <c r="A521" i="1"/>
  <c r="B520" i="1"/>
  <c r="D520" i="1" l="1"/>
  <c r="C520" i="1"/>
  <c r="E520" i="1" s="1"/>
  <c r="F520" i="1" s="1"/>
  <c r="A522" i="1"/>
  <c r="B521" i="1"/>
  <c r="E519" i="1"/>
  <c r="F519" i="1" s="1"/>
  <c r="A523" i="1" l="1"/>
  <c r="B522" i="1"/>
  <c r="C521" i="1"/>
  <c r="E521" i="1" s="1"/>
  <c r="F521" i="1" s="1"/>
  <c r="D521" i="1"/>
  <c r="D522" i="1" l="1"/>
  <c r="C522" i="1"/>
  <c r="E522" i="1" s="1"/>
  <c r="F522" i="1" s="1"/>
  <c r="A524" i="1"/>
  <c r="B523" i="1"/>
  <c r="A525" i="1" l="1"/>
  <c r="B524" i="1"/>
  <c r="D523" i="1"/>
  <c r="C523" i="1"/>
  <c r="E523" i="1" l="1"/>
  <c r="F523" i="1" s="1"/>
  <c r="C524" i="1"/>
  <c r="D524" i="1"/>
  <c r="A526" i="1"/>
  <c r="B525" i="1"/>
  <c r="D525" i="1" l="1"/>
  <c r="C525" i="1"/>
  <c r="E525" i="1" s="1"/>
  <c r="F525" i="1" s="1"/>
  <c r="A527" i="1"/>
  <c r="B526" i="1"/>
  <c r="E524" i="1"/>
  <c r="F524" i="1" s="1"/>
  <c r="D526" i="1" l="1"/>
  <c r="C526" i="1"/>
  <c r="E526" i="1" s="1"/>
  <c r="F526" i="1" s="1"/>
  <c r="A528" i="1"/>
  <c r="B527" i="1"/>
  <c r="A529" i="1" l="1"/>
  <c r="B528" i="1"/>
  <c r="D527" i="1"/>
  <c r="C527" i="1"/>
  <c r="E527" i="1" s="1"/>
  <c r="F527" i="1" s="1"/>
  <c r="D528" i="1" l="1"/>
  <c r="C528" i="1"/>
  <c r="A530" i="1"/>
  <c r="B529" i="1"/>
  <c r="D529" i="1" l="1"/>
  <c r="C529" i="1"/>
  <c r="E529" i="1" s="1"/>
  <c r="F529" i="1" s="1"/>
  <c r="A531" i="1"/>
  <c r="B530" i="1"/>
  <c r="E528" i="1"/>
  <c r="F528" i="1" s="1"/>
  <c r="C530" i="1" l="1"/>
  <c r="D530" i="1"/>
  <c r="A532" i="1"/>
  <c r="B531" i="1"/>
  <c r="D531" i="1" l="1"/>
  <c r="C531" i="1"/>
  <c r="E531" i="1" s="1"/>
  <c r="F531" i="1" s="1"/>
  <c r="A533" i="1"/>
  <c r="B532" i="1"/>
  <c r="E530" i="1"/>
  <c r="F530" i="1" s="1"/>
  <c r="C532" i="1" l="1"/>
  <c r="D532" i="1"/>
  <c r="A534" i="1"/>
  <c r="B533" i="1"/>
  <c r="D533" i="1" l="1"/>
  <c r="C533" i="1"/>
  <c r="E533" i="1" s="1"/>
  <c r="F533" i="1" s="1"/>
  <c r="A535" i="1"/>
  <c r="B534" i="1"/>
  <c r="E532" i="1"/>
  <c r="F532" i="1" s="1"/>
  <c r="D534" i="1" l="1"/>
  <c r="C534" i="1"/>
  <c r="E534" i="1" s="1"/>
  <c r="F534" i="1" s="1"/>
  <c r="A536" i="1"/>
  <c r="B535" i="1"/>
  <c r="A537" i="1" l="1"/>
  <c r="B536" i="1"/>
  <c r="D535" i="1"/>
  <c r="C535" i="1"/>
  <c r="E535" i="1" s="1"/>
  <c r="F535" i="1" s="1"/>
  <c r="D536" i="1" l="1"/>
  <c r="C536" i="1"/>
  <c r="E536" i="1" s="1"/>
  <c r="F536" i="1" s="1"/>
  <c r="A538" i="1"/>
  <c r="B537" i="1"/>
  <c r="C537" i="1" l="1"/>
  <c r="D537" i="1"/>
  <c r="A539" i="1"/>
  <c r="B538" i="1"/>
  <c r="D538" i="1" l="1"/>
  <c r="C538" i="1"/>
  <c r="E538" i="1" s="1"/>
  <c r="F538" i="1" s="1"/>
  <c r="A540" i="1"/>
  <c r="B539" i="1"/>
  <c r="E537" i="1"/>
  <c r="F537" i="1" s="1"/>
  <c r="D539" i="1" l="1"/>
  <c r="C539" i="1"/>
  <c r="E539" i="1" s="1"/>
  <c r="F539" i="1" s="1"/>
  <c r="A541" i="1"/>
  <c r="B540" i="1"/>
  <c r="A542" i="1" l="1"/>
  <c r="B541" i="1"/>
  <c r="D540" i="1"/>
  <c r="C540" i="1"/>
  <c r="E540" i="1" s="1"/>
  <c r="F540" i="1" s="1"/>
  <c r="D541" i="1" l="1"/>
  <c r="C541" i="1"/>
  <c r="E541" i="1" s="1"/>
  <c r="F541" i="1" s="1"/>
  <c r="A543" i="1"/>
  <c r="B542" i="1"/>
  <c r="A544" i="1" l="1"/>
  <c r="B543" i="1"/>
  <c r="D542" i="1"/>
  <c r="C542" i="1"/>
  <c r="E542" i="1" s="1"/>
  <c r="F542" i="1" s="1"/>
  <c r="C543" i="1" l="1"/>
  <c r="D543" i="1"/>
  <c r="A545" i="1"/>
  <c r="B544" i="1"/>
  <c r="C544" i="1" l="1"/>
  <c r="D544" i="1"/>
  <c r="A546" i="1"/>
  <c r="B545" i="1"/>
  <c r="E543" i="1"/>
  <c r="F543" i="1" s="1"/>
  <c r="A547" i="1" l="1"/>
  <c r="B546" i="1"/>
  <c r="C545" i="1"/>
  <c r="D545" i="1"/>
  <c r="E544" i="1"/>
  <c r="F544" i="1" s="1"/>
  <c r="D546" i="1" l="1"/>
  <c r="C546" i="1"/>
  <c r="E546" i="1" s="1"/>
  <c r="F546" i="1" s="1"/>
  <c r="E545" i="1"/>
  <c r="F545" i="1" s="1"/>
  <c r="A548" i="1"/>
  <c r="B547" i="1"/>
  <c r="C547" i="1" l="1"/>
  <c r="D547" i="1"/>
  <c r="A549" i="1"/>
  <c r="B548" i="1"/>
  <c r="D548" i="1" l="1"/>
  <c r="C548" i="1"/>
  <c r="E548" i="1" s="1"/>
  <c r="F548" i="1" s="1"/>
  <c r="A550" i="1"/>
  <c r="B549" i="1"/>
  <c r="E547" i="1"/>
  <c r="F547" i="1" s="1"/>
  <c r="C549" i="1" l="1"/>
  <c r="D549" i="1"/>
  <c r="A551" i="1"/>
  <c r="B550" i="1"/>
  <c r="D550" i="1" l="1"/>
  <c r="C550" i="1"/>
  <c r="E550" i="1" s="1"/>
  <c r="F550" i="1" s="1"/>
  <c r="A552" i="1"/>
  <c r="B551" i="1"/>
  <c r="E549" i="1"/>
  <c r="F549" i="1" s="1"/>
  <c r="D551" i="1" l="1"/>
  <c r="C551" i="1"/>
  <c r="E551" i="1" s="1"/>
  <c r="F551" i="1" s="1"/>
  <c r="A553" i="1"/>
  <c r="B552" i="1"/>
  <c r="A554" i="1" l="1"/>
  <c r="B553" i="1"/>
  <c r="D552" i="1"/>
  <c r="C552" i="1"/>
  <c r="E552" i="1" s="1"/>
  <c r="F552" i="1" s="1"/>
  <c r="D553" i="1" l="1"/>
  <c r="C553" i="1"/>
  <c r="E553" i="1" s="1"/>
  <c r="F553" i="1" s="1"/>
  <c r="A555" i="1"/>
  <c r="B554" i="1"/>
  <c r="D554" i="1" l="1"/>
  <c r="C554" i="1"/>
  <c r="E554" i="1" s="1"/>
  <c r="F554" i="1" s="1"/>
  <c r="A556" i="1"/>
  <c r="B555" i="1"/>
  <c r="A557" i="1" l="1"/>
  <c r="B556" i="1"/>
  <c r="C555" i="1"/>
  <c r="D555" i="1"/>
  <c r="E555" i="1" l="1"/>
  <c r="F555" i="1" s="1"/>
  <c r="C556" i="1"/>
  <c r="D556" i="1"/>
  <c r="A558" i="1"/>
  <c r="B557" i="1"/>
  <c r="C557" i="1" l="1"/>
  <c r="E557" i="1" s="1"/>
  <c r="F557" i="1" s="1"/>
  <c r="D557" i="1"/>
  <c r="A559" i="1"/>
  <c r="B558" i="1"/>
  <c r="E556" i="1"/>
  <c r="F556" i="1" s="1"/>
  <c r="C558" i="1" l="1"/>
  <c r="D558" i="1"/>
  <c r="A560" i="1"/>
  <c r="B559" i="1"/>
  <c r="D559" i="1" l="1"/>
  <c r="C559" i="1"/>
  <c r="E559" i="1" s="1"/>
  <c r="F559" i="1" s="1"/>
  <c r="A561" i="1"/>
  <c r="B560" i="1"/>
  <c r="E558" i="1"/>
  <c r="F558" i="1" s="1"/>
  <c r="A562" i="1" l="1"/>
  <c r="B561" i="1"/>
  <c r="D560" i="1"/>
  <c r="C560" i="1"/>
  <c r="E560" i="1" s="1"/>
  <c r="F560" i="1" s="1"/>
  <c r="C561" i="1" l="1"/>
  <c r="D561" i="1"/>
  <c r="A563" i="1"/>
  <c r="B562" i="1"/>
  <c r="A564" i="1" l="1"/>
  <c r="B563" i="1"/>
  <c r="D562" i="1"/>
  <c r="C562" i="1"/>
  <c r="E562" i="1" s="1"/>
  <c r="F562" i="1" s="1"/>
  <c r="E561" i="1"/>
  <c r="F561" i="1" s="1"/>
  <c r="D563" i="1" l="1"/>
  <c r="C563" i="1"/>
  <c r="E563" i="1" s="1"/>
  <c r="F563" i="1" s="1"/>
  <c r="A565" i="1"/>
  <c r="B564" i="1"/>
  <c r="D564" i="1" l="1"/>
  <c r="C564" i="1"/>
  <c r="E564" i="1" s="1"/>
  <c r="F564" i="1" s="1"/>
  <c r="A566" i="1"/>
  <c r="B565" i="1"/>
  <c r="A567" i="1" l="1"/>
  <c r="B566" i="1"/>
  <c r="C565" i="1"/>
  <c r="D565" i="1"/>
  <c r="E565" i="1" l="1"/>
  <c r="F565" i="1" s="1"/>
  <c r="D566" i="1"/>
  <c r="C566" i="1"/>
  <c r="E566" i="1" s="1"/>
  <c r="F566" i="1" s="1"/>
  <c r="A568" i="1"/>
  <c r="B567" i="1"/>
  <c r="C567" i="1" l="1"/>
  <c r="D567" i="1"/>
  <c r="A569" i="1"/>
  <c r="B568" i="1"/>
  <c r="D568" i="1" l="1"/>
  <c r="C568" i="1"/>
  <c r="E568" i="1" s="1"/>
  <c r="F568" i="1" s="1"/>
  <c r="A570" i="1"/>
  <c r="B569" i="1"/>
  <c r="E567" i="1"/>
  <c r="F567" i="1" s="1"/>
  <c r="A571" i="1" l="1"/>
  <c r="B570" i="1"/>
  <c r="D569" i="1"/>
  <c r="C569" i="1"/>
  <c r="E569" i="1" s="1"/>
  <c r="F569" i="1" s="1"/>
  <c r="D570" i="1" l="1"/>
  <c r="C570" i="1"/>
  <c r="A572" i="1"/>
  <c r="B571" i="1"/>
  <c r="C571" i="1" l="1"/>
  <c r="D571" i="1"/>
  <c r="A573" i="1"/>
  <c r="B572" i="1"/>
  <c r="E570" i="1"/>
  <c r="F570" i="1" s="1"/>
  <c r="D572" i="1" l="1"/>
  <c r="C572" i="1"/>
  <c r="E572" i="1" s="1"/>
  <c r="F572" i="1" s="1"/>
  <c r="A574" i="1"/>
  <c r="B573" i="1"/>
  <c r="E571" i="1"/>
  <c r="F571" i="1" s="1"/>
  <c r="C573" i="1" l="1"/>
  <c r="D573" i="1"/>
  <c r="A575" i="1"/>
  <c r="B574" i="1"/>
  <c r="D574" i="1" l="1"/>
  <c r="C574" i="1"/>
  <c r="E574" i="1" s="1"/>
  <c r="F574" i="1" s="1"/>
  <c r="A576" i="1"/>
  <c r="B575" i="1"/>
  <c r="E573" i="1"/>
  <c r="F573" i="1" s="1"/>
  <c r="D575" i="1" l="1"/>
  <c r="C575" i="1"/>
  <c r="E575" i="1" s="1"/>
  <c r="F575" i="1" s="1"/>
  <c r="A577" i="1"/>
  <c r="B576" i="1"/>
  <c r="A578" i="1" l="1"/>
  <c r="B577" i="1"/>
  <c r="D576" i="1"/>
  <c r="C576" i="1"/>
  <c r="E576" i="1" s="1"/>
  <c r="F576" i="1" s="1"/>
  <c r="D577" i="1" l="1"/>
  <c r="C577" i="1"/>
  <c r="E577" i="1" s="1"/>
  <c r="F577" i="1" s="1"/>
  <c r="A579" i="1"/>
  <c r="B578" i="1"/>
  <c r="D578" i="1" l="1"/>
  <c r="C578" i="1"/>
  <c r="E578" i="1" s="1"/>
  <c r="F578" i="1" s="1"/>
  <c r="A580" i="1"/>
  <c r="B579" i="1"/>
  <c r="C579" i="1" l="1"/>
  <c r="D579" i="1"/>
  <c r="A581" i="1"/>
  <c r="B580" i="1"/>
  <c r="C580" i="1" l="1"/>
  <c r="E580" i="1" s="1"/>
  <c r="F580" i="1" s="1"/>
  <c r="D580" i="1"/>
  <c r="A582" i="1"/>
  <c r="B581" i="1"/>
  <c r="E579" i="1"/>
  <c r="F579" i="1" s="1"/>
  <c r="A583" i="1" l="1"/>
  <c r="B582" i="1"/>
  <c r="C581" i="1"/>
  <c r="D581" i="1"/>
  <c r="E581" i="1" l="1"/>
  <c r="F581" i="1" s="1"/>
  <c r="D582" i="1"/>
  <c r="C582" i="1"/>
  <c r="E582" i="1" s="1"/>
  <c r="F582" i="1" s="1"/>
  <c r="A584" i="1"/>
  <c r="B583" i="1"/>
  <c r="A585" i="1" l="1"/>
  <c r="B584" i="1"/>
  <c r="D583" i="1"/>
  <c r="C583" i="1"/>
  <c r="E583" i="1" s="1"/>
  <c r="F583" i="1" s="1"/>
  <c r="D584" i="1" l="1"/>
  <c r="C584" i="1"/>
  <c r="E584" i="1" s="1"/>
  <c r="F584" i="1" s="1"/>
  <c r="A586" i="1"/>
  <c r="B585" i="1"/>
  <c r="C585" i="1" l="1"/>
  <c r="D585" i="1"/>
  <c r="A587" i="1"/>
  <c r="B586" i="1"/>
  <c r="D586" i="1" l="1"/>
  <c r="C586" i="1"/>
  <c r="E586" i="1" s="1"/>
  <c r="F586" i="1" s="1"/>
  <c r="A588" i="1"/>
  <c r="B587" i="1"/>
  <c r="E585" i="1"/>
  <c r="F585" i="1" s="1"/>
  <c r="D587" i="1" l="1"/>
  <c r="C587" i="1"/>
  <c r="E587" i="1" s="1"/>
  <c r="F587" i="1" s="1"/>
  <c r="A589" i="1"/>
  <c r="B588" i="1"/>
  <c r="D588" i="1" l="1"/>
  <c r="C588" i="1"/>
  <c r="E588" i="1" s="1"/>
  <c r="F588" i="1" s="1"/>
  <c r="A590" i="1"/>
  <c r="B589" i="1"/>
  <c r="D589" i="1" l="1"/>
  <c r="C589" i="1"/>
  <c r="E589" i="1" s="1"/>
  <c r="F589" i="1" s="1"/>
  <c r="A591" i="1"/>
  <c r="B590" i="1"/>
  <c r="A592" i="1" l="1"/>
  <c r="B591" i="1"/>
  <c r="D590" i="1"/>
  <c r="C590" i="1"/>
  <c r="E590" i="1" s="1"/>
  <c r="F590" i="1" s="1"/>
  <c r="C591" i="1" l="1"/>
  <c r="D591" i="1"/>
  <c r="A593" i="1"/>
  <c r="B592" i="1"/>
  <c r="A594" i="1" l="1"/>
  <c r="B593" i="1"/>
  <c r="D592" i="1"/>
  <c r="C592" i="1"/>
  <c r="E592" i="1" s="1"/>
  <c r="F592" i="1" s="1"/>
  <c r="E591" i="1"/>
  <c r="F591" i="1" s="1"/>
  <c r="D593" i="1" l="1"/>
  <c r="C593" i="1"/>
  <c r="E593" i="1" s="1"/>
  <c r="F593" i="1" s="1"/>
  <c r="A595" i="1"/>
  <c r="B594" i="1"/>
  <c r="D594" i="1" l="1"/>
  <c r="C594" i="1"/>
  <c r="E594" i="1" s="1"/>
  <c r="F594" i="1" s="1"/>
  <c r="A596" i="1"/>
  <c r="B595" i="1"/>
  <c r="A597" i="1" l="1"/>
  <c r="B596" i="1"/>
  <c r="C595" i="1"/>
  <c r="D595" i="1"/>
  <c r="E595" i="1" l="1"/>
  <c r="F595" i="1" s="1"/>
  <c r="D596" i="1"/>
  <c r="C596" i="1"/>
  <c r="E596" i="1" s="1"/>
  <c r="F596" i="1" s="1"/>
  <c r="A598" i="1"/>
  <c r="B597" i="1"/>
  <c r="C597" i="1" l="1"/>
  <c r="D597" i="1"/>
  <c r="A599" i="1"/>
  <c r="B598" i="1"/>
  <c r="C598" i="1" l="1"/>
  <c r="D598" i="1"/>
  <c r="A600" i="1"/>
  <c r="B599" i="1"/>
  <c r="E597" i="1"/>
  <c r="F597" i="1" s="1"/>
  <c r="C599" i="1" l="1"/>
  <c r="D599" i="1"/>
  <c r="A601" i="1"/>
  <c r="B600" i="1"/>
  <c r="E598" i="1"/>
  <c r="F598" i="1" s="1"/>
  <c r="C600" i="1" l="1"/>
  <c r="D600" i="1"/>
  <c r="A602" i="1"/>
  <c r="B601" i="1"/>
  <c r="E599" i="1"/>
  <c r="F599" i="1" s="1"/>
  <c r="D601" i="1" l="1"/>
  <c r="C601" i="1"/>
  <c r="E601" i="1" s="1"/>
  <c r="F601" i="1" s="1"/>
  <c r="A603" i="1"/>
  <c r="B602" i="1"/>
  <c r="E600" i="1"/>
  <c r="F600" i="1" s="1"/>
  <c r="A604" i="1" l="1"/>
  <c r="B603" i="1"/>
  <c r="D602" i="1"/>
  <c r="C602" i="1"/>
  <c r="E602" i="1" s="1"/>
  <c r="F602" i="1" s="1"/>
  <c r="C603" i="1" l="1"/>
  <c r="E603" i="1" s="1"/>
  <c r="F603" i="1" s="1"/>
  <c r="D603" i="1"/>
  <c r="A605" i="1"/>
  <c r="B604" i="1"/>
  <c r="C604" i="1" l="1"/>
  <c r="D604" i="1"/>
  <c r="A606" i="1"/>
  <c r="B605" i="1"/>
  <c r="C605" i="1" l="1"/>
  <c r="D605" i="1"/>
  <c r="A607" i="1"/>
  <c r="B606" i="1"/>
  <c r="E604" i="1"/>
  <c r="F604" i="1" s="1"/>
  <c r="D606" i="1" l="1"/>
  <c r="C606" i="1"/>
  <c r="E606" i="1" s="1"/>
  <c r="F606" i="1" s="1"/>
  <c r="A608" i="1"/>
  <c r="B607" i="1"/>
  <c r="E605" i="1"/>
  <c r="F605" i="1" s="1"/>
  <c r="C607" i="1" l="1"/>
  <c r="D607" i="1"/>
  <c r="A609" i="1"/>
  <c r="B608" i="1"/>
  <c r="D608" i="1" l="1"/>
  <c r="C608" i="1"/>
  <c r="E608" i="1" s="1"/>
  <c r="F608" i="1" s="1"/>
  <c r="A610" i="1"/>
  <c r="B609" i="1"/>
  <c r="E607" i="1"/>
  <c r="F607" i="1" s="1"/>
  <c r="C609" i="1" l="1"/>
  <c r="D609" i="1"/>
  <c r="A611" i="1"/>
  <c r="B610" i="1"/>
  <c r="D610" i="1" l="1"/>
  <c r="C610" i="1"/>
  <c r="E610" i="1" s="1"/>
  <c r="F610" i="1" s="1"/>
  <c r="A612" i="1"/>
  <c r="B611" i="1"/>
  <c r="E609" i="1"/>
  <c r="F609" i="1" s="1"/>
  <c r="D611" i="1" l="1"/>
  <c r="C611" i="1"/>
  <c r="E611" i="1" s="1"/>
  <c r="F611" i="1" s="1"/>
  <c r="A613" i="1"/>
  <c r="B612" i="1"/>
  <c r="C612" i="1" l="1"/>
  <c r="D612" i="1"/>
  <c r="A614" i="1"/>
  <c r="B613" i="1"/>
  <c r="D613" i="1" l="1"/>
  <c r="C613" i="1"/>
  <c r="E613" i="1" s="1"/>
  <c r="F613" i="1" s="1"/>
  <c r="A615" i="1"/>
  <c r="B614" i="1"/>
  <c r="E612" i="1"/>
  <c r="F612" i="1" s="1"/>
  <c r="D614" i="1" l="1"/>
  <c r="C614" i="1"/>
  <c r="E614" i="1" s="1"/>
  <c r="F614" i="1" s="1"/>
  <c r="A616" i="1"/>
  <c r="B615" i="1"/>
  <c r="A617" i="1" l="1"/>
  <c r="B616" i="1"/>
  <c r="C615" i="1"/>
  <c r="E615" i="1" s="1"/>
  <c r="F615" i="1" s="1"/>
  <c r="D615" i="1"/>
  <c r="D616" i="1" l="1"/>
  <c r="C616" i="1"/>
  <c r="E616" i="1" s="1"/>
  <c r="F616" i="1" s="1"/>
  <c r="A618" i="1"/>
  <c r="B617" i="1"/>
  <c r="D617" i="1" l="1"/>
  <c r="C617" i="1"/>
  <c r="E617" i="1" s="1"/>
  <c r="F617" i="1" s="1"/>
  <c r="A619" i="1"/>
  <c r="B618" i="1"/>
  <c r="D618" i="1" l="1"/>
  <c r="C618" i="1"/>
  <c r="E618" i="1" s="1"/>
  <c r="F618" i="1" s="1"/>
  <c r="A620" i="1"/>
  <c r="B619" i="1"/>
  <c r="C619" i="1" l="1"/>
  <c r="D619" i="1"/>
  <c r="A621" i="1"/>
  <c r="B620" i="1"/>
  <c r="A622" i="1" l="1"/>
  <c r="B621" i="1"/>
  <c r="D620" i="1"/>
  <c r="C620" i="1"/>
  <c r="E620" i="1" s="1"/>
  <c r="F620" i="1" s="1"/>
  <c r="E619" i="1"/>
  <c r="F619" i="1" s="1"/>
  <c r="C621" i="1" l="1"/>
  <c r="D621" i="1"/>
  <c r="A623" i="1"/>
  <c r="B622" i="1"/>
  <c r="D622" i="1" l="1"/>
  <c r="C622" i="1"/>
  <c r="E622" i="1" s="1"/>
  <c r="F622" i="1" s="1"/>
  <c r="A624" i="1"/>
  <c r="B623" i="1"/>
  <c r="E621" i="1"/>
  <c r="F621" i="1" s="1"/>
  <c r="C623" i="1" l="1"/>
  <c r="D623" i="1"/>
  <c r="A625" i="1"/>
  <c r="B624" i="1"/>
  <c r="D624" i="1" l="1"/>
  <c r="C624" i="1"/>
  <c r="E624" i="1" s="1"/>
  <c r="F624" i="1" s="1"/>
  <c r="A626" i="1"/>
  <c r="B625" i="1"/>
  <c r="E623" i="1"/>
  <c r="F623" i="1" s="1"/>
  <c r="D625" i="1" l="1"/>
  <c r="C625" i="1"/>
  <c r="E625" i="1" s="1"/>
  <c r="F625" i="1" s="1"/>
  <c r="A627" i="1"/>
  <c r="B626" i="1"/>
  <c r="A628" i="1" l="1"/>
  <c r="B627" i="1"/>
  <c r="D626" i="1"/>
  <c r="C626" i="1"/>
  <c r="E626" i="1" s="1"/>
  <c r="F626" i="1" s="1"/>
  <c r="C627" i="1" l="1"/>
  <c r="D627" i="1"/>
  <c r="A629" i="1"/>
  <c r="B628" i="1"/>
  <c r="C628" i="1" l="1"/>
  <c r="D628" i="1"/>
  <c r="A630" i="1"/>
  <c r="B629" i="1"/>
  <c r="E627" i="1"/>
  <c r="F627" i="1" s="1"/>
  <c r="D629" i="1" l="1"/>
  <c r="C629" i="1"/>
  <c r="E629" i="1" s="1"/>
  <c r="F629" i="1" s="1"/>
  <c r="A631" i="1"/>
  <c r="B630" i="1"/>
  <c r="E628" i="1"/>
  <c r="F628" i="1" s="1"/>
  <c r="D630" i="1" l="1"/>
  <c r="C630" i="1"/>
  <c r="A632" i="1"/>
  <c r="B631" i="1"/>
  <c r="D631" i="1" l="1"/>
  <c r="C631" i="1"/>
  <c r="E631" i="1" s="1"/>
  <c r="F631" i="1" s="1"/>
  <c r="A633" i="1"/>
  <c r="B632" i="1"/>
  <c r="E630" i="1"/>
  <c r="F630" i="1" s="1"/>
  <c r="A634" i="1" l="1"/>
  <c r="B633" i="1"/>
  <c r="D632" i="1"/>
  <c r="C632" i="1"/>
  <c r="E632" i="1" s="1"/>
  <c r="F632" i="1" s="1"/>
  <c r="C633" i="1" l="1"/>
  <c r="D633" i="1"/>
  <c r="A635" i="1"/>
  <c r="B634" i="1"/>
  <c r="D634" i="1" l="1"/>
  <c r="C634" i="1"/>
  <c r="E634" i="1" s="1"/>
  <c r="F634" i="1" s="1"/>
  <c r="A636" i="1"/>
  <c r="B635" i="1"/>
  <c r="E633" i="1"/>
  <c r="F633" i="1" s="1"/>
  <c r="A637" i="1" l="1"/>
  <c r="B636" i="1"/>
  <c r="D635" i="1"/>
  <c r="C635" i="1"/>
  <c r="E635" i="1" s="1"/>
  <c r="F635" i="1" s="1"/>
  <c r="D636" i="1" l="1"/>
  <c r="C636" i="1"/>
  <c r="E636" i="1" s="1"/>
  <c r="F636" i="1" s="1"/>
  <c r="A638" i="1"/>
  <c r="B637" i="1"/>
  <c r="D637" i="1" l="1"/>
  <c r="C637" i="1"/>
  <c r="E637" i="1" s="1"/>
  <c r="F637" i="1" s="1"/>
  <c r="A639" i="1"/>
  <c r="B638" i="1"/>
  <c r="D638" i="1" l="1"/>
  <c r="C638" i="1"/>
  <c r="E638" i="1" s="1"/>
  <c r="F638" i="1" s="1"/>
  <c r="A640" i="1"/>
  <c r="B639" i="1"/>
  <c r="C639" i="1" l="1"/>
  <c r="D639" i="1"/>
  <c r="A641" i="1"/>
  <c r="B640" i="1"/>
  <c r="C640" i="1" l="1"/>
  <c r="D640" i="1"/>
  <c r="A642" i="1"/>
  <c r="B641" i="1"/>
  <c r="E639" i="1"/>
  <c r="F639" i="1" s="1"/>
  <c r="C641" i="1" l="1"/>
  <c r="D641" i="1"/>
  <c r="A643" i="1"/>
  <c r="B642" i="1"/>
  <c r="E640" i="1"/>
  <c r="F640" i="1" s="1"/>
  <c r="D642" i="1" l="1"/>
  <c r="C642" i="1"/>
  <c r="E642" i="1" s="1"/>
  <c r="F642" i="1" s="1"/>
  <c r="A644" i="1"/>
  <c r="B643" i="1"/>
  <c r="E641" i="1"/>
  <c r="F641" i="1" s="1"/>
  <c r="A645" i="1" l="1"/>
  <c r="B644" i="1"/>
  <c r="C643" i="1"/>
  <c r="D643" i="1"/>
  <c r="E643" i="1" l="1"/>
  <c r="F643" i="1" s="1"/>
  <c r="D644" i="1"/>
  <c r="C644" i="1"/>
  <c r="E644" i="1" s="1"/>
  <c r="F644" i="1" s="1"/>
  <c r="A646" i="1"/>
  <c r="B645" i="1"/>
  <c r="C645" i="1" l="1"/>
  <c r="D645" i="1"/>
  <c r="A647" i="1"/>
  <c r="B646" i="1"/>
  <c r="D646" i="1" l="1"/>
  <c r="C646" i="1"/>
  <c r="E646" i="1" s="1"/>
  <c r="F646" i="1" s="1"/>
  <c r="A648" i="1"/>
  <c r="B647" i="1"/>
  <c r="E645" i="1"/>
  <c r="F645" i="1" s="1"/>
  <c r="C647" i="1" l="1"/>
  <c r="E647" i="1" s="1"/>
  <c r="F647" i="1" s="1"/>
  <c r="D647" i="1"/>
  <c r="A649" i="1"/>
  <c r="B648" i="1"/>
  <c r="D648" i="1" l="1"/>
  <c r="C648" i="1"/>
  <c r="E648" i="1" s="1"/>
  <c r="F648" i="1" s="1"/>
  <c r="A650" i="1"/>
  <c r="B649" i="1"/>
  <c r="D649" i="1" l="1"/>
  <c r="C649" i="1"/>
  <c r="E649" i="1" s="1"/>
  <c r="F649" i="1" s="1"/>
  <c r="A651" i="1"/>
  <c r="B650" i="1"/>
  <c r="D650" i="1" l="1"/>
  <c r="C650" i="1"/>
  <c r="E650" i="1" s="1"/>
  <c r="F650" i="1" s="1"/>
  <c r="A652" i="1"/>
  <c r="B651" i="1"/>
  <c r="A653" i="1" l="1"/>
  <c r="B652" i="1"/>
  <c r="C651" i="1"/>
  <c r="D651" i="1"/>
  <c r="E651" i="1" l="1"/>
  <c r="F651" i="1" s="1"/>
  <c r="C652" i="1"/>
  <c r="D652" i="1"/>
  <c r="A654" i="1"/>
  <c r="B653" i="1"/>
  <c r="A655" i="1" l="1"/>
  <c r="B654" i="1"/>
  <c r="E652" i="1"/>
  <c r="F652" i="1" s="1"/>
  <c r="C653" i="1"/>
  <c r="D653" i="1"/>
  <c r="E653" i="1" l="1"/>
  <c r="F653" i="1" s="1"/>
  <c r="C654" i="1"/>
  <c r="E654" i="1" s="1"/>
  <c r="F654" i="1" s="1"/>
  <c r="D654" i="1"/>
  <c r="A656" i="1"/>
  <c r="B655" i="1"/>
  <c r="A657" i="1" l="1"/>
  <c r="B656" i="1"/>
  <c r="D655" i="1"/>
  <c r="C655" i="1"/>
  <c r="E655" i="1" s="1"/>
  <c r="F655" i="1" s="1"/>
  <c r="D656" i="1" l="1"/>
  <c r="C656" i="1"/>
  <c r="E656" i="1" s="1"/>
  <c r="F656" i="1" s="1"/>
  <c r="A658" i="1"/>
  <c r="B657" i="1"/>
  <c r="C657" i="1" l="1"/>
  <c r="D657" i="1"/>
  <c r="A659" i="1"/>
  <c r="B658" i="1"/>
  <c r="D658" i="1" l="1"/>
  <c r="C658" i="1"/>
  <c r="E658" i="1" s="1"/>
  <c r="F658" i="1" s="1"/>
  <c r="A660" i="1"/>
  <c r="B659" i="1"/>
  <c r="E657" i="1"/>
  <c r="F657" i="1" s="1"/>
  <c r="D659" i="1" l="1"/>
  <c r="C659" i="1"/>
  <c r="E659" i="1" s="1"/>
  <c r="F659" i="1" s="1"/>
  <c r="A661" i="1"/>
  <c r="B660" i="1"/>
  <c r="C660" i="1" l="1"/>
  <c r="D660" i="1"/>
  <c r="A662" i="1"/>
  <c r="B661" i="1"/>
  <c r="C661" i="1" l="1"/>
  <c r="D661" i="1"/>
  <c r="A663" i="1"/>
  <c r="B662" i="1"/>
  <c r="E660" i="1"/>
  <c r="F660" i="1" s="1"/>
  <c r="A664" i="1" l="1"/>
  <c r="B663" i="1"/>
  <c r="D662" i="1"/>
  <c r="C662" i="1"/>
  <c r="E662" i="1" s="1"/>
  <c r="F662" i="1" s="1"/>
  <c r="E661" i="1"/>
  <c r="F661" i="1" s="1"/>
  <c r="C663" i="1" l="1"/>
  <c r="D663" i="1"/>
  <c r="A665" i="1"/>
  <c r="B664" i="1"/>
  <c r="D664" i="1" l="1"/>
  <c r="C664" i="1"/>
  <c r="E664" i="1" s="1"/>
  <c r="F664" i="1" s="1"/>
  <c r="A666" i="1"/>
  <c r="B665" i="1"/>
  <c r="E663" i="1"/>
  <c r="F663" i="1" s="1"/>
  <c r="A667" i="1" l="1"/>
  <c r="B666" i="1"/>
  <c r="D665" i="1"/>
  <c r="C665" i="1"/>
  <c r="E665" i="1" s="1"/>
  <c r="F665" i="1" s="1"/>
  <c r="D666" i="1" l="1"/>
  <c r="C666" i="1"/>
  <c r="E666" i="1" s="1"/>
  <c r="F666" i="1" s="1"/>
  <c r="A668" i="1"/>
  <c r="B667" i="1"/>
  <c r="C667" i="1" l="1"/>
  <c r="D667" i="1"/>
  <c r="A669" i="1"/>
  <c r="B668" i="1"/>
  <c r="D668" i="1" l="1"/>
  <c r="C668" i="1"/>
  <c r="E668" i="1" s="1"/>
  <c r="F668" i="1" s="1"/>
  <c r="A670" i="1"/>
  <c r="B669" i="1"/>
  <c r="E667" i="1"/>
  <c r="F667" i="1" s="1"/>
  <c r="C669" i="1" l="1"/>
  <c r="D669" i="1"/>
  <c r="A671" i="1"/>
  <c r="B670" i="1"/>
  <c r="D670" i="1" l="1"/>
  <c r="C670" i="1"/>
  <c r="E670" i="1" s="1"/>
  <c r="F670" i="1" s="1"/>
  <c r="A672" i="1"/>
  <c r="B671" i="1"/>
  <c r="E669" i="1"/>
  <c r="F669" i="1" s="1"/>
  <c r="A673" i="1" l="1"/>
  <c r="B672" i="1"/>
  <c r="D671" i="1"/>
  <c r="C671" i="1"/>
  <c r="E671" i="1" s="1"/>
  <c r="F671" i="1" s="1"/>
  <c r="D672" i="1" l="1"/>
  <c r="C672" i="1"/>
  <c r="E672" i="1" s="1"/>
  <c r="F672" i="1" s="1"/>
  <c r="A674" i="1"/>
  <c r="B673" i="1"/>
  <c r="D673" i="1" l="1"/>
  <c r="C673" i="1"/>
  <c r="E673" i="1" s="1"/>
  <c r="F673" i="1" s="1"/>
  <c r="A675" i="1"/>
  <c r="B674" i="1"/>
  <c r="D674" i="1" l="1"/>
  <c r="C674" i="1"/>
  <c r="E674" i="1" s="1"/>
  <c r="F674" i="1" s="1"/>
  <c r="A676" i="1"/>
  <c r="B675" i="1"/>
  <c r="C675" i="1" l="1"/>
  <c r="D675" i="1"/>
  <c r="A677" i="1"/>
  <c r="B676" i="1"/>
  <c r="C676" i="1" l="1"/>
  <c r="D676" i="1"/>
  <c r="A678" i="1"/>
  <c r="B677" i="1"/>
  <c r="E675" i="1"/>
  <c r="F675" i="1" s="1"/>
  <c r="C677" i="1" l="1"/>
  <c r="D677" i="1"/>
  <c r="A679" i="1"/>
  <c r="B678" i="1"/>
  <c r="E676" i="1"/>
  <c r="F676" i="1" s="1"/>
  <c r="D678" i="1" l="1"/>
  <c r="C678" i="1"/>
  <c r="E678" i="1" s="1"/>
  <c r="F678" i="1" s="1"/>
  <c r="A680" i="1"/>
  <c r="B679" i="1"/>
  <c r="E677" i="1"/>
  <c r="F677" i="1" s="1"/>
  <c r="D679" i="1" l="1"/>
  <c r="C679" i="1"/>
  <c r="E679" i="1" s="1"/>
  <c r="F679" i="1" s="1"/>
  <c r="A681" i="1"/>
  <c r="B680" i="1"/>
  <c r="D680" i="1" l="1"/>
  <c r="C680" i="1"/>
  <c r="E680" i="1" s="1"/>
  <c r="F680" i="1" s="1"/>
  <c r="A682" i="1"/>
  <c r="B681" i="1"/>
  <c r="A683" i="1" l="1"/>
  <c r="B682" i="1"/>
  <c r="C681" i="1"/>
  <c r="E681" i="1" s="1"/>
  <c r="F681" i="1" s="1"/>
  <c r="D681" i="1"/>
  <c r="D682" i="1" l="1"/>
  <c r="C682" i="1"/>
  <c r="E682" i="1" s="1"/>
  <c r="F682" i="1" s="1"/>
  <c r="A684" i="1"/>
  <c r="B683" i="1"/>
  <c r="D683" i="1" l="1"/>
  <c r="C683" i="1"/>
  <c r="E683" i="1" s="1"/>
  <c r="F683" i="1" s="1"/>
  <c r="A685" i="1"/>
  <c r="B684" i="1"/>
  <c r="D684" i="1" l="1"/>
  <c r="C684" i="1"/>
  <c r="E684" i="1" s="1"/>
  <c r="F684" i="1" s="1"/>
  <c r="A686" i="1"/>
  <c r="B685" i="1"/>
  <c r="D685" i="1" l="1"/>
  <c r="C685" i="1"/>
  <c r="E685" i="1" s="1"/>
  <c r="F685" i="1" s="1"/>
  <c r="A687" i="1"/>
  <c r="B686" i="1"/>
  <c r="D686" i="1" l="1"/>
  <c r="C686" i="1"/>
  <c r="A688" i="1"/>
  <c r="B687" i="1"/>
  <c r="C687" i="1" l="1"/>
  <c r="D687" i="1"/>
  <c r="A689" i="1"/>
  <c r="B688" i="1"/>
  <c r="E686" i="1"/>
  <c r="F686" i="1" s="1"/>
  <c r="D688" i="1" l="1"/>
  <c r="C688" i="1"/>
  <c r="E688" i="1" s="1"/>
  <c r="F688" i="1" s="1"/>
  <c r="A690" i="1"/>
  <c r="B689" i="1"/>
  <c r="E687" i="1"/>
  <c r="F687" i="1" s="1"/>
  <c r="A691" i="1" l="1"/>
  <c r="B690" i="1"/>
  <c r="C689" i="1"/>
  <c r="D689" i="1"/>
  <c r="E689" i="1" l="1"/>
  <c r="F689" i="1" s="1"/>
  <c r="D690" i="1"/>
  <c r="C690" i="1"/>
  <c r="E690" i="1" s="1"/>
  <c r="F690" i="1" s="1"/>
  <c r="A692" i="1"/>
  <c r="B691" i="1"/>
  <c r="C691" i="1" l="1"/>
  <c r="D691" i="1"/>
  <c r="A693" i="1"/>
  <c r="B692" i="1"/>
  <c r="D692" i="1" l="1"/>
  <c r="C692" i="1"/>
  <c r="E692" i="1" s="1"/>
  <c r="F692" i="1" s="1"/>
  <c r="A694" i="1"/>
  <c r="B693" i="1"/>
  <c r="E691" i="1"/>
  <c r="F691" i="1" s="1"/>
  <c r="A695" i="1" l="1"/>
  <c r="B694" i="1"/>
  <c r="C693" i="1"/>
  <c r="D693" i="1"/>
  <c r="C694" i="1" l="1"/>
  <c r="E694" i="1" s="1"/>
  <c r="F694" i="1" s="1"/>
  <c r="D694" i="1"/>
  <c r="E693" i="1"/>
  <c r="F693" i="1" s="1"/>
  <c r="A696" i="1"/>
  <c r="B695" i="1"/>
  <c r="A697" i="1" l="1"/>
  <c r="B696" i="1"/>
  <c r="C695" i="1"/>
  <c r="D695" i="1"/>
  <c r="E695" i="1" l="1"/>
  <c r="F695" i="1" s="1"/>
  <c r="C696" i="1"/>
  <c r="D696" i="1"/>
  <c r="A698" i="1"/>
  <c r="B697" i="1"/>
  <c r="A699" i="1" l="1"/>
  <c r="B698" i="1"/>
  <c r="D697" i="1"/>
  <c r="C697" i="1"/>
  <c r="E697" i="1" s="1"/>
  <c r="F697" i="1" s="1"/>
  <c r="E696" i="1"/>
  <c r="F696" i="1" s="1"/>
  <c r="D698" i="1" l="1"/>
  <c r="C698" i="1"/>
  <c r="E698" i="1" s="1"/>
  <c r="F698" i="1" s="1"/>
  <c r="A700" i="1"/>
  <c r="B699" i="1"/>
  <c r="C699" i="1" l="1"/>
  <c r="D699" i="1"/>
  <c r="A701" i="1"/>
  <c r="B700" i="1"/>
  <c r="C700" i="1" l="1"/>
  <c r="D700" i="1"/>
  <c r="A702" i="1"/>
  <c r="B701" i="1"/>
  <c r="E699" i="1"/>
  <c r="F699" i="1" s="1"/>
  <c r="A703" i="1" l="1"/>
  <c r="B702" i="1"/>
  <c r="D701" i="1"/>
  <c r="C701" i="1"/>
  <c r="E700" i="1"/>
  <c r="F700" i="1" s="1"/>
  <c r="E701" i="1" l="1"/>
  <c r="F701" i="1" s="1"/>
  <c r="D702" i="1"/>
  <c r="C702" i="1"/>
  <c r="E702" i="1" s="1"/>
  <c r="F702" i="1" s="1"/>
  <c r="A704" i="1"/>
  <c r="B703" i="1"/>
  <c r="D703" i="1" l="1"/>
  <c r="C703" i="1"/>
  <c r="E703" i="1" s="1"/>
  <c r="F703" i="1" s="1"/>
  <c r="A705" i="1"/>
  <c r="B704" i="1"/>
  <c r="A706" i="1" l="1"/>
  <c r="B705" i="1"/>
  <c r="D704" i="1"/>
  <c r="C704" i="1"/>
  <c r="E704" i="1" s="1"/>
  <c r="F704" i="1" s="1"/>
  <c r="A707" i="1" l="1"/>
  <c r="B706" i="1"/>
  <c r="C705" i="1"/>
  <c r="E705" i="1" s="1"/>
  <c r="F705" i="1" s="1"/>
  <c r="D705" i="1"/>
  <c r="D706" i="1" l="1"/>
  <c r="C706" i="1"/>
  <c r="E706" i="1" s="1"/>
  <c r="F706" i="1" s="1"/>
  <c r="A708" i="1"/>
  <c r="B707" i="1"/>
  <c r="D707" i="1" l="1"/>
  <c r="C707" i="1"/>
  <c r="E707" i="1" s="1"/>
  <c r="F707" i="1" s="1"/>
  <c r="A709" i="1"/>
  <c r="B708" i="1"/>
  <c r="C708" i="1" l="1"/>
  <c r="D708" i="1"/>
  <c r="A710" i="1"/>
  <c r="B709" i="1"/>
  <c r="A711" i="1" l="1"/>
  <c r="B710" i="1"/>
  <c r="C709" i="1"/>
  <c r="D709" i="1"/>
  <c r="E708" i="1"/>
  <c r="F708" i="1" s="1"/>
  <c r="E709" i="1" l="1"/>
  <c r="F709" i="1" s="1"/>
  <c r="D710" i="1"/>
  <c r="C710" i="1"/>
  <c r="E710" i="1" s="1"/>
  <c r="F710" i="1" s="1"/>
  <c r="A712" i="1"/>
  <c r="B711" i="1"/>
  <c r="C711" i="1" l="1"/>
  <c r="D711" i="1"/>
  <c r="A713" i="1"/>
  <c r="B712" i="1"/>
  <c r="C712" i="1" l="1"/>
  <c r="D712" i="1"/>
  <c r="A714" i="1"/>
  <c r="B713" i="1"/>
  <c r="E711" i="1"/>
  <c r="F711" i="1" s="1"/>
  <c r="D713" i="1" l="1"/>
  <c r="C713" i="1"/>
  <c r="E713" i="1" s="1"/>
  <c r="F713" i="1" s="1"/>
  <c r="A715" i="1"/>
  <c r="B714" i="1"/>
  <c r="E712" i="1"/>
  <c r="F712" i="1" s="1"/>
  <c r="D714" i="1" l="1"/>
  <c r="C714" i="1"/>
  <c r="E714" i="1" s="1"/>
  <c r="F714" i="1" s="1"/>
  <c r="A716" i="1"/>
  <c r="B715" i="1"/>
  <c r="C715" i="1" l="1"/>
  <c r="D715" i="1"/>
  <c r="A717" i="1"/>
  <c r="B716" i="1"/>
  <c r="A718" i="1" l="1"/>
  <c r="B717" i="1"/>
  <c r="D716" i="1"/>
  <c r="C716" i="1"/>
  <c r="E716" i="1" s="1"/>
  <c r="F716" i="1" s="1"/>
  <c r="E715" i="1"/>
  <c r="F715" i="1" s="1"/>
  <c r="C717" i="1" l="1"/>
  <c r="D717" i="1"/>
  <c r="A719" i="1"/>
  <c r="B718" i="1"/>
  <c r="D718" i="1" l="1"/>
  <c r="C718" i="1"/>
  <c r="E718" i="1" s="1"/>
  <c r="F718" i="1" s="1"/>
  <c r="A720" i="1"/>
  <c r="B719" i="1"/>
  <c r="E717" i="1"/>
  <c r="F717" i="1" s="1"/>
  <c r="A721" i="1" l="1"/>
  <c r="B720" i="1"/>
  <c r="D719" i="1"/>
  <c r="C719" i="1"/>
  <c r="E719" i="1" s="1"/>
  <c r="F719" i="1" s="1"/>
  <c r="A722" i="1" l="1"/>
  <c r="B721" i="1"/>
  <c r="D720" i="1"/>
  <c r="C720" i="1"/>
  <c r="E720" i="1" s="1"/>
  <c r="F720" i="1" s="1"/>
  <c r="D721" i="1" l="1"/>
  <c r="C721" i="1"/>
  <c r="E721" i="1" s="1"/>
  <c r="F721" i="1" s="1"/>
  <c r="A723" i="1"/>
  <c r="B722" i="1"/>
  <c r="A724" i="1" l="1"/>
  <c r="B723" i="1"/>
  <c r="D722" i="1"/>
  <c r="C722" i="1"/>
  <c r="E722" i="1" s="1"/>
  <c r="F722" i="1" s="1"/>
  <c r="C723" i="1" l="1"/>
  <c r="D723" i="1"/>
  <c r="A725" i="1"/>
  <c r="B724" i="1"/>
  <c r="C724" i="1" l="1"/>
  <c r="E724" i="1" s="1"/>
  <c r="F724" i="1" s="1"/>
  <c r="D724" i="1"/>
  <c r="A726" i="1"/>
  <c r="B725" i="1"/>
  <c r="E723" i="1"/>
  <c r="F723" i="1" s="1"/>
  <c r="D725" i="1" l="1"/>
  <c r="C725" i="1"/>
  <c r="E725" i="1" s="1"/>
  <c r="F725" i="1" s="1"/>
  <c r="A727" i="1"/>
  <c r="B726" i="1"/>
  <c r="D726" i="1" l="1"/>
  <c r="C726" i="1"/>
  <c r="E726" i="1" s="1"/>
  <c r="F726" i="1" s="1"/>
  <c r="A728" i="1"/>
  <c r="B727" i="1"/>
  <c r="D727" i="1" l="1"/>
  <c r="C727" i="1"/>
  <c r="E727" i="1" s="1"/>
  <c r="F727" i="1" s="1"/>
  <c r="A729" i="1"/>
  <c r="B728" i="1"/>
  <c r="D728" i="1" l="1"/>
  <c r="C728" i="1"/>
  <c r="E728" i="1" s="1"/>
  <c r="F728" i="1" s="1"/>
  <c r="A730" i="1"/>
  <c r="B729" i="1"/>
  <c r="C729" i="1" l="1"/>
  <c r="D729" i="1"/>
  <c r="A731" i="1"/>
  <c r="B730" i="1"/>
  <c r="D730" i="1" l="1"/>
  <c r="C730" i="1"/>
  <c r="E730" i="1" s="1"/>
  <c r="F730" i="1" s="1"/>
  <c r="A732" i="1"/>
  <c r="B731" i="1"/>
  <c r="E729" i="1"/>
  <c r="F729" i="1" s="1"/>
  <c r="A733" i="1" l="1"/>
  <c r="B732" i="1"/>
  <c r="D731" i="1"/>
  <c r="C731" i="1"/>
  <c r="E731" i="1" s="1"/>
  <c r="F731" i="1" s="1"/>
  <c r="D732" i="1" l="1"/>
  <c r="C732" i="1"/>
  <c r="E732" i="1" s="1"/>
  <c r="F732" i="1" s="1"/>
  <c r="A734" i="1"/>
  <c r="B733" i="1"/>
  <c r="C733" i="1" l="1"/>
  <c r="D733" i="1"/>
  <c r="A735" i="1"/>
  <c r="B734" i="1"/>
  <c r="D734" i="1" l="1"/>
  <c r="C734" i="1"/>
  <c r="E734" i="1" s="1"/>
  <c r="F734" i="1" s="1"/>
  <c r="A736" i="1"/>
  <c r="B735" i="1"/>
  <c r="E733" i="1"/>
  <c r="F733" i="1" s="1"/>
  <c r="C735" i="1" l="1"/>
  <c r="D735" i="1"/>
  <c r="A737" i="1"/>
  <c r="B736" i="1"/>
  <c r="A738" i="1" l="1"/>
  <c r="B737" i="1"/>
  <c r="D736" i="1"/>
  <c r="C736" i="1"/>
  <c r="E736" i="1" s="1"/>
  <c r="F736" i="1" s="1"/>
  <c r="E735" i="1"/>
  <c r="F735" i="1" s="1"/>
  <c r="C737" i="1" l="1"/>
  <c r="D737" i="1"/>
  <c r="A739" i="1"/>
  <c r="B738" i="1"/>
  <c r="D738" i="1" l="1"/>
  <c r="C738" i="1"/>
  <c r="E738" i="1" s="1"/>
  <c r="F738" i="1" s="1"/>
  <c r="A740" i="1"/>
  <c r="B739" i="1"/>
  <c r="E737" i="1"/>
  <c r="F737" i="1" s="1"/>
  <c r="C739" i="1" l="1"/>
  <c r="D739" i="1"/>
  <c r="A741" i="1"/>
  <c r="B740" i="1"/>
  <c r="D740" i="1" l="1"/>
  <c r="C740" i="1"/>
  <c r="E740" i="1" s="1"/>
  <c r="F740" i="1" s="1"/>
  <c r="A742" i="1"/>
  <c r="B741" i="1"/>
  <c r="E739" i="1"/>
  <c r="F739" i="1" s="1"/>
  <c r="C741" i="1" l="1"/>
  <c r="D741" i="1"/>
  <c r="A743" i="1"/>
  <c r="B742" i="1"/>
  <c r="A744" i="1" l="1"/>
  <c r="B743" i="1"/>
  <c r="D742" i="1"/>
  <c r="C742" i="1"/>
  <c r="E742" i="1" s="1"/>
  <c r="F742" i="1" s="1"/>
  <c r="E741" i="1"/>
  <c r="F741" i="1" s="1"/>
  <c r="D743" i="1" l="1"/>
  <c r="C743" i="1"/>
  <c r="E743" i="1" s="1"/>
  <c r="F743" i="1" s="1"/>
  <c r="A745" i="1"/>
  <c r="B744" i="1"/>
  <c r="D744" i="1" l="1"/>
  <c r="C744" i="1"/>
  <c r="E744" i="1" s="1"/>
  <c r="F744" i="1" s="1"/>
  <c r="A746" i="1"/>
  <c r="B745" i="1"/>
  <c r="D745" i="1" l="1"/>
  <c r="C745" i="1"/>
  <c r="E745" i="1" s="1"/>
  <c r="F745" i="1" s="1"/>
  <c r="A747" i="1"/>
  <c r="B746" i="1"/>
  <c r="D746" i="1" l="1"/>
  <c r="C746" i="1"/>
  <c r="E746" i="1" s="1"/>
  <c r="F746" i="1" s="1"/>
  <c r="A748" i="1"/>
  <c r="B747" i="1"/>
  <c r="C747" i="1" l="1"/>
  <c r="D747" i="1"/>
  <c r="A749" i="1"/>
  <c r="B748" i="1"/>
  <c r="C748" i="1" l="1"/>
  <c r="D748" i="1"/>
  <c r="A750" i="1"/>
  <c r="B749" i="1"/>
  <c r="E747" i="1"/>
  <c r="F747" i="1" s="1"/>
  <c r="C749" i="1" l="1"/>
  <c r="D749" i="1"/>
  <c r="A751" i="1"/>
  <c r="B750" i="1"/>
  <c r="E748" i="1"/>
  <c r="F748" i="1" s="1"/>
  <c r="C750" i="1" l="1"/>
  <c r="D750" i="1"/>
  <c r="A752" i="1"/>
  <c r="B751" i="1"/>
  <c r="E749" i="1"/>
  <c r="F749" i="1" s="1"/>
  <c r="D751" i="1" l="1"/>
  <c r="C751" i="1"/>
  <c r="A753" i="1"/>
  <c r="B752" i="1"/>
  <c r="E750" i="1"/>
  <c r="F750" i="1" s="1"/>
  <c r="D752" i="1" l="1"/>
  <c r="C752" i="1"/>
  <c r="E752" i="1" s="1"/>
  <c r="F752" i="1" s="1"/>
  <c r="A754" i="1"/>
  <c r="B753" i="1"/>
  <c r="E751" i="1"/>
  <c r="F751" i="1" s="1"/>
  <c r="C753" i="1" l="1"/>
  <c r="D753" i="1"/>
  <c r="A755" i="1"/>
  <c r="B754" i="1"/>
  <c r="A756" i="1" l="1"/>
  <c r="B755" i="1"/>
  <c r="D754" i="1"/>
  <c r="C754" i="1"/>
  <c r="E754" i="1" s="1"/>
  <c r="F754" i="1" s="1"/>
  <c r="E753" i="1"/>
  <c r="F753" i="1" s="1"/>
  <c r="D755" i="1" l="1"/>
  <c r="C755" i="1"/>
  <c r="E755" i="1" s="1"/>
  <c r="F755" i="1" s="1"/>
  <c r="A757" i="1"/>
  <c r="B756" i="1"/>
  <c r="A758" i="1" l="1"/>
  <c r="B757" i="1"/>
  <c r="D756" i="1"/>
  <c r="C756" i="1"/>
  <c r="E756" i="1" s="1"/>
  <c r="F756" i="1" s="1"/>
  <c r="D757" i="1" l="1"/>
  <c r="C757" i="1"/>
  <c r="E757" i="1" s="1"/>
  <c r="F757" i="1" s="1"/>
  <c r="A759" i="1"/>
  <c r="B758" i="1"/>
  <c r="D758" i="1" l="1"/>
  <c r="C758" i="1"/>
  <c r="E758" i="1" s="1"/>
  <c r="F758" i="1" s="1"/>
  <c r="A760" i="1"/>
  <c r="B759" i="1"/>
  <c r="A761" i="1" l="1"/>
  <c r="B760" i="1"/>
  <c r="C759" i="1"/>
  <c r="D759" i="1"/>
  <c r="E759" i="1" l="1"/>
  <c r="F759" i="1" s="1"/>
  <c r="D760" i="1"/>
  <c r="C760" i="1"/>
  <c r="E760" i="1" s="1"/>
  <c r="F760" i="1" s="1"/>
  <c r="A762" i="1"/>
  <c r="B761" i="1"/>
  <c r="D761" i="1" l="1"/>
  <c r="C761" i="1"/>
  <c r="E761" i="1" s="1"/>
  <c r="F761" i="1" s="1"/>
  <c r="A763" i="1"/>
  <c r="B762" i="1"/>
  <c r="D762" i="1" l="1"/>
  <c r="C762" i="1"/>
  <c r="E762" i="1" s="1"/>
  <c r="F762" i="1" s="1"/>
  <c r="A764" i="1"/>
  <c r="B763" i="1"/>
  <c r="C763" i="1" l="1"/>
  <c r="D763" i="1"/>
  <c r="A765" i="1"/>
  <c r="B764" i="1"/>
  <c r="D764" i="1" l="1"/>
  <c r="C764" i="1"/>
  <c r="E764" i="1" s="1"/>
  <c r="F764" i="1" s="1"/>
  <c r="A766" i="1"/>
  <c r="B765" i="1"/>
  <c r="E763" i="1"/>
  <c r="F763" i="1" s="1"/>
  <c r="C765" i="1" l="1"/>
  <c r="D765" i="1"/>
  <c r="A767" i="1"/>
  <c r="B766" i="1"/>
  <c r="C766" i="1" l="1"/>
  <c r="D766" i="1"/>
  <c r="A768" i="1"/>
  <c r="B767" i="1"/>
  <c r="E765" i="1"/>
  <c r="F765" i="1" s="1"/>
  <c r="D767" i="1" l="1"/>
  <c r="C767" i="1"/>
  <c r="E767" i="1" s="1"/>
  <c r="F767" i="1" s="1"/>
  <c r="A769" i="1"/>
  <c r="B768" i="1"/>
  <c r="E766" i="1"/>
  <c r="F766" i="1" s="1"/>
  <c r="D768" i="1" l="1"/>
  <c r="C768" i="1"/>
  <c r="E768" i="1" s="1"/>
  <c r="F768" i="1" s="1"/>
  <c r="A770" i="1"/>
  <c r="B769" i="1"/>
  <c r="D769" i="1" l="1"/>
  <c r="C769" i="1"/>
  <c r="E769" i="1" s="1"/>
  <c r="F769" i="1" s="1"/>
  <c r="A771" i="1"/>
  <c r="B770" i="1"/>
  <c r="A772" i="1" l="1"/>
  <c r="B771" i="1"/>
  <c r="D770" i="1"/>
  <c r="C770" i="1"/>
  <c r="E770" i="1" s="1"/>
  <c r="F770" i="1" s="1"/>
  <c r="C771" i="1" l="1"/>
  <c r="D771" i="1"/>
  <c r="A773" i="1"/>
  <c r="B772" i="1"/>
  <c r="C772" i="1" l="1"/>
  <c r="D772" i="1"/>
  <c r="A774" i="1"/>
  <c r="B773" i="1"/>
  <c r="E771" i="1"/>
  <c r="F771" i="1" s="1"/>
  <c r="A775" i="1" l="1"/>
  <c r="B774" i="1"/>
  <c r="C773" i="1"/>
  <c r="D773" i="1"/>
  <c r="E772" i="1"/>
  <c r="F772" i="1" s="1"/>
  <c r="E773" i="1" l="1"/>
  <c r="F773" i="1" s="1"/>
  <c r="D774" i="1"/>
  <c r="C774" i="1"/>
  <c r="E774" i="1" s="1"/>
  <c r="F774" i="1" s="1"/>
  <c r="A776" i="1"/>
  <c r="B775" i="1"/>
  <c r="C775" i="1" l="1"/>
  <c r="D775" i="1"/>
  <c r="A777" i="1"/>
  <c r="B776" i="1"/>
  <c r="D776" i="1" l="1"/>
  <c r="C776" i="1"/>
  <c r="E776" i="1" s="1"/>
  <c r="F776" i="1" s="1"/>
  <c r="A778" i="1"/>
  <c r="B777" i="1"/>
  <c r="E775" i="1"/>
  <c r="F775" i="1" s="1"/>
  <c r="C777" i="1" l="1"/>
  <c r="D777" i="1"/>
  <c r="A779" i="1"/>
  <c r="B778" i="1"/>
  <c r="D778" i="1" l="1"/>
  <c r="C778" i="1"/>
  <c r="E778" i="1" s="1"/>
  <c r="F778" i="1" s="1"/>
  <c r="A780" i="1"/>
  <c r="B779" i="1"/>
  <c r="E777" i="1"/>
  <c r="F777" i="1" s="1"/>
  <c r="D779" i="1" l="1"/>
  <c r="C779" i="1"/>
  <c r="E779" i="1" s="1"/>
  <c r="F779" i="1" s="1"/>
  <c r="A781" i="1"/>
  <c r="B780" i="1"/>
  <c r="D780" i="1" l="1"/>
  <c r="C780" i="1"/>
  <c r="A782" i="1"/>
  <c r="B781" i="1"/>
  <c r="D781" i="1" l="1"/>
  <c r="C781" i="1"/>
  <c r="E781" i="1" s="1"/>
  <c r="F781" i="1" s="1"/>
  <c r="A783" i="1"/>
  <c r="B782" i="1"/>
  <c r="E780" i="1"/>
  <c r="F780" i="1" s="1"/>
  <c r="A784" i="1" l="1"/>
  <c r="B783" i="1"/>
  <c r="D782" i="1"/>
  <c r="C782" i="1"/>
  <c r="E782" i="1" s="1"/>
  <c r="F782" i="1" s="1"/>
  <c r="C783" i="1" l="1"/>
  <c r="D783" i="1"/>
  <c r="A785" i="1"/>
  <c r="B784" i="1"/>
  <c r="D784" i="1" l="1"/>
  <c r="C784" i="1"/>
  <c r="E784" i="1" s="1"/>
  <c r="F784" i="1" s="1"/>
  <c r="A786" i="1"/>
  <c r="B785" i="1"/>
  <c r="E783" i="1"/>
  <c r="F783" i="1" s="1"/>
  <c r="A787" i="1" l="1"/>
  <c r="B786" i="1"/>
  <c r="D785" i="1"/>
  <c r="C785" i="1"/>
  <c r="E785" i="1" s="1"/>
  <c r="F785" i="1" s="1"/>
  <c r="D786" i="1" l="1"/>
  <c r="C786" i="1"/>
  <c r="E786" i="1" s="1"/>
  <c r="F786" i="1" s="1"/>
  <c r="A788" i="1"/>
  <c r="B787" i="1"/>
  <c r="A789" i="1" l="1"/>
  <c r="B788" i="1"/>
  <c r="C787" i="1"/>
  <c r="D787" i="1"/>
  <c r="E787" i="1" l="1"/>
  <c r="F787" i="1" s="1"/>
  <c r="D788" i="1"/>
  <c r="C788" i="1"/>
  <c r="E788" i="1" s="1"/>
  <c r="F788" i="1" s="1"/>
  <c r="A790" i="1"/>
  <c r="B789" i="1"/>
  <c r="C789" i="1" l="1"/>
  <c r="D789" i="1"/>
  <c r="A791" i="1"/>
  <c r="B790" i="1"/>
  <c r="A792" i="1" l="1"/>
  <c r="B791" i="1"/>
  <c r="D790" i="1"/>
  <c r="C790" i="1"/>
  <c r="E790" i="1" s="1"/>
  <c r="F790" i="1" s="1"/>
  <c r="E789" i="1"/>
  <c r="F789" i="1" s="1"/>
  <c r="C791" i="1" l="1"/>
  <c r="D791" i="1"/>
  <c r="A793" i="1"/>
  <c r="B792" i="1"/>
  <c r="C792" i="1" l="1"/>
  <c r="E792" i="1" s="1"/>
  <c r="F792" i="1" s="1"/>
  <c r="D792" i="1"/>
  <c r="A794" i="1"/>
  <c r="B793" i="1"/>
  <c r="E791" i="1"/>
  <c r="F791" i="1" s="1"/>
  <c r="D793" i="1" l="1"/>
  <c r="C793" i="1"/>
  <c r="E793" i="1" s="1"/>
  <c r="F793" i="1" s="1"/>
  <c r="A795" i="1"/>
  <c r="B794" i="1"/>
  <c r="D794" i="1" l="1"/>
  <c r="C794" i="1"/>
  <c r="E794" i="1" s="1"/>
  <c r="F794" i="1" s="1"/>
  <c r="A796" i="1"/>
  <c r="B795" i="1"/>
  <c r="C795" i="1" l="1"/>
  <c r="D795" i="1"/>
  <c r="A797" i="1"/>
  <c r="B796" i="1"/>
  <c r="C796" i="1" l="1"/>
  <c r="E796" i="1" s="1"/>
  <c r="F796" i="1" s="1"/>
  <c r="D796" i="1"/>
  <c r="A798" i="1"/>
  <c r="B797" i="1"/>
  <c r="E795" i="1"/>
  <c r="F795" i="1" s="1"/>
  <c r="D797" i="1" l="1"/>
  <c r="C797" i="1"/>
  <c r="E797" i="1" s="1"/>
  <c r="F797" i="1" s="1"/>
  <c r="A799" i="1"/>
  <c r="B798" i="1"/>
  <c r="A800" i="1" l="1"/>
  <c r="B799" i="1"/>
  <c r="D798" i="1"/>
  <c r="C798" i="1"/>
  <c r="E798" i="1" s="1"/>
  <c r="F798" i="1" s="1"/>
  <c r="D799" i="1" l="1"/>
  <c r="C799" i="1"/>
  <c r="E799" i="1" s="1"/>
  <c r="F799" i="1" s="1"/>
  <c r="A801" i="1"/>
  <c r="B800" i="1"/>
  <c r="D800" i="1" l="1"/>
  <c r="C800" i="1"/>
  <c r="E800" i="1" s="1"/>
  <c r="F800" i="1" s="1"/>
  <c r="A802" i="1"/>
  <c r="B801" i="1"/>
  <c r="C801" i="1" l="1"/>
  <c r="D801" i="1"/>
  <c r="A803" i="1"/>
  <c r="B802" i="1"/>
  <c r="D802" i="1" l="1"/>
  <c r="C802" i="1"/>
  <c r="E802" i="1" s="1"/>
  <c r="F802" i="1" s="1"/>
  <c r="A804" i="1"/>
  <c r="B803" i="1"/>
  <c r="E801" i="1"/>
  <c r="F801" i="1" s="1"/>
  <c r="A805" i="1" l="1"/>
  <c r="B804" i="1"/>
  <c r="D803" i="1"/>
  <c r="C803" i="1"/>
  <c r="E803" i="1" s="1"/>
  <c r="F803" i="1" s="1"/>
  <c r="C804" i="1" l="1"/>
  <c r="D804" i="1"/>
  <c r="A806" i="1"/>
  <c r="B805" i="1"/>
  <c r="D805" i="1" l="1"/>
  <c r="C805" i="1"/>
  <c r="E805" i="1" s="1"/>
  <c r="F805" i="1" s="1"/>
  <c r="A807" i="1"/>
  <c r="B806" i="1"/>
  <c r="E804" i="1"/>
  <c r="F804" i="1" s="1"/>
  <c r="D806" i="1" l="1"/>
  <c r="C806" i="1"/>
  <c r="E806" i="1" s="1"/>
  <c r="F806" i="1" s="1"/>
  <c r="A808" i="1"/>
  <c r="B807" i="1"/>
  <c r="C807" i="1" l="1"/>
  <c r="D807" i="1"/>
  <c r="A809" i="1"/>
  <c r="B808" i="1"/>
  <c r="A810" i="1" l="1"/>
  <c r="B809" i="1"/>
  <c r="C808" i="1"/>
  <c r="D808" i="1"/>
  <c r="E807" i="1"/>
  <c r="F807" i="1" s="1"/>
  <c r="D809" i="1" l="1"/>
  <c r="C809" i="1"/>
  <c r="E809" i="1" s="1"/>
  <c r="F809" i="1" s="1"/>
  <c r="E808" i="1"/>
  <c r="F808" i="1" s="1"/>
  <c r="A811" i="1"/>
  <c r="B810" i="1"/>
  <c r="D810" i="1" l="1"/>
  <c r="C810" i="1"/>
  <c r="E810" i="1" s="1"/>
  <c r="F810" i="1" s="1"/>
  <c r="A812" i="1"/>
  <c r="B811" i="1"/>
  <c r="C811" i="1" l="1"/>
  <c r="D811" i="1"/>
  <c r="A813" i="1"/>
  <c r="B812" i="1"/>
  <c r="D812" i="1" l="1"/>
  <c r="C812" i="1"/>
  <c r="E812" i="1" s="1"/>
  <c r="F812" i="1" s="1"/>
  <c r="A814" i="1"/>
  <c r="B813" i="1"/>
  <c r="E811" i="1"/>
  <c r="F811" i="1" s="1"/>
  <c r="C813" i="1" l="1"/>
  <c r="E813" i="1" s="1"/>
  <c r="F813" i="1" s="1"/>
  <c r="D813" i="1"/>
  <c r="A815" i="1"/>
  <c r="B814" i="1"/>
  <c r="D814" i="1" l="1"/>
  <c r="C814" i="1"/>
  <c r="E814" i="1" s="1"/>
  <c r="F814" i="1" s="1"/>
  <c r="A816" i="1"/>
  <c r="B815" i="1"/>
  <c r="D815" i="1" l="1"/>
  <c r="C815" i="1"/>
  <c r="E815" i="1" s="1"/>
  <c r="F815" i="1" s="1"/>
  <c r="A817" i="1"/>
  <c r="B816" i="1"/>
  <c r="D816" i="1" l="1"/>
  <c r="C816" i="1"/>
  <c r="E816" i="1" s="1"/>
  <c r="F816" i="1" s="1"/>
  <c r="A818" i="1"/>
  <c r="B817" i="1"/>
  <c r="A819" i="1" l="1"/>
  <c r="B818" i="1"/>
  <c r="D817" i="1"/>
  <c r="C817" i="1"/>
  <c r="E817" i="1" s="1"/>
  <c r="F817" i="1" s="1"/>
  <c r="D818" i="1" l="1"/>
  <c r="C818" i="1"/>
  <c r="E818" i="1" s="1"/>
  <c r="F818" i="1" s="1"/>
  <c r="A820" i="1"/>
  <c r="B819" i="1"/>
  <c r="C819" i="1" l="1"/>
  <c r="D819" i="1"/>
  <c r="A821" i="1"/>
  <c r="B820" i="1"/>
  <c r="C820" i="1" l="1"/>
  <c r="D820" i="1"/>
  <c r="A822" i="1"/>
  <c r="B821" i="1"/>
  <c r="E819" i="1"/>
  <c r="F819" i="1" s="1"/>
  <c r="D821" i="1" l="1"/>
  <c r="C821" i="1"/>
  <c r="E821" i="1" s="1"/>
  <c r="F821" i="1" s="1"/>
  <c r="A823" i="1"/>
  <c r="B822" i="1"/>
  <c r="E820" i="1"/>
  <c r="F820" i="1" s="1"/>
  <c r="D822" i="1" l="1"/>
  <c r="C822" i="1"/>
  <c r="E822" i="1" s="1"/>
  <c r="F822" i="1" s="1"/>
  <c r="A824" i="1"/>
  <c r="B823" i="1"/>
  <c r="D823" i="1" l="1"/>
  <c r="C823" i="1"/>
  <c r="E823" i="1" s="1"/>
  <c r="F823" i="1" s="1"/>
  <c r="A825" i="1"/>
  <c r="B824" i="1"/>
  <c r="A826" i="1" l="1"/>
  <c r="B825" i="1"/>
  <c r="D824" i="1"/>
  <c r="C824" i="1"/>
  <c r="E824" i="1" s="1"/>
  <c r="F824" i="1" s="1"/>
  <c r="C825" i="1" l="1"/>
  <c r="E825" i="1" s="1"/>
  <c r="F825" i="1" s="1"/>
  <c r="D825" i="1"/>
  <c r="A827" i="1"/>
  <c r="B826" i="1"/>
  <c r="D826" i="1" l="1"/>
  <c r="C826" i="1"/>
  <c r="E826" i="1" s="1"/>
  <c r="F826" i="1" s="1"/>
  <c r="A828" i="1"/>
  <c r="B827" i="1"/>
  <c r="D827" i="1" l="1"/>
  <c r="C827" i="1"/>
  <c r="A829" i="1"/>
  <c r="B828" i="1"/>
  <c r="D828" i="1" l="1"/>
  <c r="C828" i="1"/>
  <c r="E828" i="1" s="1"/>
  <c r="F828" i="1" s="1"/>
  <c r="A830" i="1"/>
  <c r="B829" i="1"/>
  <c r="E827" i="1"/>
  <c r="F827" i="1" s="1"/>
  <c r="D829" i="1" l="1"/>
  <c r="C829" i="1"/>
  <c r="E829" i="1" s="1"/>
  <c r="F829" i="1" s="1"/>
  <c r="A831" i="1"/>
  <c r="B830" i="1"/>
  <c r="D830" i="1" l="1"/>
  <c r="C830" i="1"/>
  <c r="E830" i="1" s="1"/>
  <c r="F830" i="1" s="1"/>
  <c r="A832" i="1"/>
  <c r="B831" i="1"/>
  <c r="C831" i="1" l="1"/>
  <c r="D831" i="1"/>
  <c r="A833" i="1"/>
  <c r="B832" i="1"/>
  <c r="D832" i="1" l="1"/>
  <c r="C832" i="1"/>
  <c r="E832" i="1" s="1"/>
  <c r="F832" i="1" s="1"/>
  <c r="A834" i="1"/>
  <c r="B833" i="1"/>
  <c r="E831" i="1"/>
  <c r="F831" i="1" s="1"/>
  <c r="D833" i="1" l="1"/>
  <c r="C833" i="1"/>
  <c r="E833" i="1" s="1"/>
  <c r="F833" i="1" s="1"/>
  <c r="A835" i="1"/>
  <c r="B834" i="1"/>
  <c r="D834" i="1" l="1"/>
  <c r="C834" i="1"/>
  <c r="E834" i="1" s="1"/>
  <c r="F834" i="1" s="1"/>
  <c r="A836" i="1"/>
  <c r="B835" i="1"/>
  <c r="C835" i="1" l="1"/>
  <c r="D835" i="1"/>
  <c r="A837" i="1"/>
  <c r="B836" i="1"/>
  <c r="D836" i="1" l="1"/>
  <c r="C836" i="1"/>
  <c r="E836" i="1" s="1"/>
  <c r="F836" i="1" s="1"/>
  <c r="A838" i="1"/>
  <c r="B837" i="1"/>
  <c r="E835" i="1"/>
  <c r="F835" i="1" s="1"/>
  <c r="C837" i="1" l="1"/>
  <c r="D837" i="1"/>
  <c r="A839" i="1"/>
  <c r="B838" i="1"/>
  <c r="D838" i="1" l="1"/>
  <c r="C838" i="1"/>
  <c r="E838" i="1" s="1"/>
  <c r="F838" i="1" s="1"/>
  <c r="A840" i="1"/>
  <c r="B839" i="1"/>
  <c r="E837" i="1"/>
  <c r="F837" i="1" s="1"/>
  <c r="D839" i="1" l="1"/>
  <c r="C839" i="1"/>
  <c r="E839" i="1" s="1"/>
  <c r="F839" i="1" s="1"/>
  <c r="A841" i="1"/>
  <c r="B840" i="1"/>
  <c r="A842" i="1" l="1"/>
  <c r="B841" i="1"/>
  <c r="D840" i="1"/>
  <c r="C840" i="1"/>
  <c r="E840" i="1" l="1"/>
  <c r="F840" i="1" s="1"/>
  <c r="D841" i="1"/>
  <c r="C841" i="1"/>
  <c r="E841" i="1" s="1"/>
  <c r="F841" i="1" s="1"/>
  <c r="A843" i="1"/>
  <c r="B842" i="1"/>
  <c r="D842" i="1" l="1"/>
  <c r="C842" i="1"/>
  <c r="E842" i="1" s="1"/>
  <c r="F842" i="1" s="1"/>
  <c r="A844" i="1"/>
  <c r="B843" i="1"/>
  <c r="A845" i="1" l="1"/>
  <c r="B844" i="1"/>
  <c r="C843" i="1"/>
  <c r="D843" i="1"/>
  <c r="E843" i="1" l="1"/>
  <c r="F843" i="1" s="1"/>
  <c r="C844" i="1"/>
  <c r="D844" i="1"/>
  <c r="A846" i="1"/>
  <c r="B845" i="1"/>
  <c r="D845" i="1" l="1"/>
  <c r="C845" i="1"/>
  <c r="E845" i="1" s="1"/>
  <c r="F845" i="1" s="1"/>
  <c r="A847" i="1"/>
  <c r="B846" i="1"/>
  <c r="E844" i="1"/>
  <c r="F844" i="1" s="1"/>
  <c r="C846" i="1" l="1"/>
  <c r="D846" i="1"/>
  <c r="A848" i="1"/>
  <c r="B847" i="1"/>
  <c r="D847" i="1" l="1"/>
  <c r="C847" i="1"/>
  <c r="E847" i="1" s="1"/>
  <c r="F847" i="1" s="1"/>
  <c r="A849" i="1"/>
  <c r="B848" i="1"/>
  <c r="E846" i="1"/>
  <c r="F846" i="1" s="1"/>
  <c r="D848" i="1" l="1"/>
  <c r="C848" i="1"/>
  <c r="E848" i="1" s="1"/>
  <c r="F848" i="1" s="1"/>
  <c r="A850" i="1"/>
  <c r="B849" i="1"/>
  <c r="A851" i="1" l="1"/>
  <c r="B850" i="1"/>
  <c r="C849" i="1"/>
  <c r="D849" i="1"/>
  <c r="E849" i="1" l="1"/>
  <c r="F849" i="1" s="1"/>
  <c r="D850" i="1"/>
  <c r="C850" i="1"/>
  <c r="E850" i="1" s="1"/>
  <c r="F850" i="1" s="1"/>
  <c r="A852" i="1"/>
  <c r="B851" i="1"/>
  <c r="D851" i="1" l="1"/>
  <c r="C851" i="1"/>
  <c r="E851" i="1" s="1"/>
  <c r="F851" i="1" s="1"/>
  <c r="A853" i="1"/>
  <c r="B852" i="1"/>
  <c r="D852" i="1" l="1"/>
  <c r="C852" i="1"/>
  <c r="E852" i="1" s="1"/>
  <c r="F852" i="1" s="1"/>
  <c r="A854" i="1"/>
  <c r="B853" i="1"/>
  <c r="A855" i="1" l="1"/>
  <c r="B854" i="1"/>
  <c r="D853" i="1"/>
  <c r="C853" i="1"/>
  <c r="E853" i="1" s="1"/>
  <c r="F853" i="1" s="1"/>
  <c r="D854" i="1" l="1"/>
  <c r="C854" i="1"/>
  <c r="E854" i="1" s="1"/>
  <c r="F854" i="1" s="1"/>
  <c r="A856" i="1"/>
  <c r="B855" i="1"/>
  <c r="C855" i="1" l="1"/>
  <c r="D855" i="1"/>
  <c r="A857" i="1"/>
  <c r="B856" i="1"/>
  <c r="D856" i="1" l="1"/>
  <c r="C856" i="1"/>
  <c r="E856" i="1" s="1"/>
  <c r="F856" i="1" s="1"/>
  <c r="A858" i="1"/>
  <c r="B857" i="1"/>
  <c r="E855" i="1"/>
  <c r="F855" i="1" s="1"/>
  <c r="D857" i="1" l="1"/>
  <c r="C857" i="1"/>
  <c r="E857" i="1" s="1"/>
  <c r="F857" i="1" s="1"/>
  <c r="A859" i="1"/>
  <c r="B858" i="1"/>
  <c r="D858" i="1" l="1"/>
  <c r="C858" i="1"/>
  <c r="E858" i="1" s="1"/>
  <c r="F858" i="1" s="1"/>
  <c r="A860" i="1"/>
  <c r="B859" i="1"/>
  <c r="A861" i="1" l="1"/>
  <c r="B860" i="1"/>
  <c r="C859" i="1"/>
  <c r="D859" i="1"/>
  <c r="E859" i="1" l="1"/>
  <c r="F859" i="1" s="1"/>
  <c r="D860" i="1"/>
  <c r="C860" i="1"/>
  <c r="E860" i="1" s="1"/>
  <c r="F860" i="1" s="1"/>
  <c r="A862" i="1"/>
  <c r="B861" i="1"/>
  <c r="C861" i="1" l="1"/>
  <c r="D861" i="1"/>
  <c r="A863" i="1"/>
  <c r="B862" i="1"/>
  <c r="D862" i="1" l="1"/>
  <c r="C862" i="1"/>
  <c r="E862" i="1" s="1"/>
  <c r="F862" i="1" s="1"/>
  <c r="A864" i="1"/>
  <c r="B863" i="1"/>
  <c r="E861" i="1"/>
  <c r="F861" i="1" s="1"/>
  <c r="D863" i="1" l="1"/>
  <c r="C863" i="1"/>
  <c r="E863" i="1" s="1"/>
  <c r="F863" i="1" s="1"/>
  <c r="A865" i="1"/>
  <c r="B864" i="1"/>
  <c r="D864" i="1" l="1"/>
  <c r="C864" i="1"/>
  <c r="E864" i="1" s="1"/>
  <c r="F864" i="1" s="1"/>
  <c r="A866" i="1"/>
  <c r="B865" i="1"/>
  <c r="D865" i="1" l="1"/>
  <c r="C865" i="1"/>
  <c r="E865" i="1" s="1"/>
  <c r="F865" i="1" s="1"/>
  <c r="A867" i="1"/>
  <c r="B866" i="1"/>
  <c r="D866" i="1" l="1"/>
  <c r="C866" i="1"/>
  <c r="E866" i="1" s="1"/>
  <c r="F866" i="1" s="1"/>
  <c r="A868" i="1"/>
  <c r="B867" i="1"/>
  <c r="C867" i="1" l="1"/>
  <c r="D867" i="1"/>
  <c r="A869" i="1"/>
  <c r="B868" i="1"/>
  <c r="C868" i="1" l="1"/>
  <c r="D868" i="1"/>
  <c r="A870" i="1"/>
  <c r="B869" i="1"/>
  <c r="E867" i="1"/>
  <c r="F867" i="1" s="1"/>
  <c r="A871" i="1" l="1"/>
  <c r="B870" i="1"/>
  <c r="D869" i="1"/>
  <c r="C869" i="1"/>
  <c r="E869" i="1" s="1"/>
  <c r="F869" i="1" s="1"/>
  <c r="E868" i="1"/>
  <c r="F868" i="1" s="1"/>
  <c r="D870" i="1" l="1"/>
  <c r="C870" i="1"/>
  <c r="E870" i="1" s="1"/>
  <c r="F870" i="1" s="1"/>
  <c r="A872" i="1"/>
  <c r="B871" i="1"/>
  <c r="D871" i="1" l="1"/>
  <c r="C871" i="1"/>
  <c r="E871" i="1" s="1"/>
  <c r="F871" i="1" s="1"/>
  <c r="A873" i="1"/>
  <c r="B872" i="1"/>
  <c r="D872" i="1" l="1"/>
  <c r="C872" i="1"/>
  <c r="E872" i="1" s="1"/>
  <c r="F872" i="1" s="1"/>
  <c r="A874" i="1"/>
  <c r="B873" i="1"/>
  <c r="C873" i="1" l="1"/>
  <c r="E873" i="1" s="1"/>
  <c r="F873" i="1" s="1"/>
  <c r="D873" i="1"/>
  <c r="A875" i="1"/>
  <c r="B874" i="1"/>
  <c r="D874" i="1" l="1"/>
  <c r="C874" i="1"/>
  <c r="E874" i="1" s="1"/>
  <c r="F874" i="1" s="1"/>
  <c r="A876" i="1"/>
  <c r="B875" i="1"/>
  <c r="D875" i="1" l="1"/>
  <c r="C875" i="1"/>
  <c r="E875" i="1" s="1"/>
  <c r="F875" i="1" s="1"/>
  <c r="A877" i="1"/>
  <c r="B876" i="1"/>
  <c r="D876" i="1" l="1"/>
  <c r="C876" i="1"/>
  <c r="E876" i="1" s="1"/>
  <c r="F876" i="1" s="1"/>
  <c r="A878" i="1"/>
  <c r="B877" i="1"/>
  <c r="D877" i="1" l="1"/>
  <c r="C877" i="1"/>
  <c r="E877" i="1" s="1"/>
  <c r="F877" i="1" s="1"/>
  <c r="A879" i="1"/>
  <c r="B878" i="1"/>
  <c r="D878" i="1" l="1"/>
  <c r="C878" i="1"/>
  <c r="E878" i="1" s="1"/>
  <c r="F878" i="1" s="1"/>
  <c r="A880" i="1"/>
  <c r="B879" i="1"/>
  <c r="A881" i="1" l="1"/>
  <c r="B880" i="1"/>
  <c r="C879" i="1"/>
  <c r="D879" i="1"/>
  <c r="E879" i="1" l="1"/>
  <c r="F879" i="1" s="1"/>
  <c r="D880" i="1"/>
  <c r="C880" i="1"/>
  <c r="E880" i="1" s="1"/>
  <c r="F880" i="1" s="1"/>
  <c r="A882" i="1"/>
  <c r="B881" i="1"/>
  <c r="D881" i="1" l="1"/>
  <c r="C881" i="1"/>
  <c r="E881" i="1" s="1"/>
  <c r="F881" i="1" s="1"/>
  <c r="A883" i="1"/>
  <c r="B882" i="1"/>
  <c r="D882" i="1" l="1"/>
  <c r="C882" i="1"/>
  <c r="E882" i="1" s="1"/>
  <c r="F882" i="1" s="1"/>
  <c r="B883" i="1"/>
  <c r="I11" i="1"/>
  <c r="I13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K19" i="1" l="1"/>
  <c r="L19" i="1"/>
  <c r="K30" i="1"/>
  <c r="L30" i="1"/>
  <c r="K18" i="1"/>
  <c r="L18" i="1"/>
  <c r="K31" i="1"/>
  <c r="L31" i="1"/>
  <c r="L29" i="1"/>
  <c r="K29" i="1"/>
  <c r="K17" i="1"/>
  <c r="L17" i="1"/>
  <c r="K36" i="1"/>
  <c r="L36" i="1"/>
  <c r="K28" i="1"/>
  <c r="L28" i="1"/>
  <c r="K16" i="1"/>
  <c r="L16" i="1"/>
  <c r="K15" i="1"/>
  <c r="L15" i="1"/>
  <c r="K26" i="1"/>
  <c r="L26" i="1"/>
  <c r="K14" i="1"/>
  <c r="L14" i="1"/>
  <c r="K37" i="1"/>
  <c r="L37" i="1"/>
  <c r="K25" i="1"/>
  <c r="L25" i="1"/>
  <c r="K12" i="1"/>
  <c r="L12" i="1"/>
  <c r="K24" i="1"/>
  <c r="L24" i="1"/>
  <c r="K13" i="1"/>
  <c r="L13" i="1"/>
  <c r="K23" i="1"/>
  <c r="L23" i="1"/>
  <c r="K11" i="1"/>
  <c r="L11" i="1"/>
  <c r="K35" i="1"/>
  <c r="L35" i="1"/>
  <c r="K34" i="1"/>
  <c r="L34" i="1"/>
  <c r="K22" i="1"/>
  <c r="L22" i="1"/>
  <c r="D883" i="1"/>
  <c r="C883" i="1"/>
  <c r="E883" i="1" s="1"/>
  <c r="F883" i="1" s="1"/>
  <c r="K27" i="1"/>
  <c r="L27" i="1"/>
  <c r="K21" i="1"/>
  <c r="L21" i="1"/>
  <c r="K33" i="1"/>
  <c r="L33" i="1"/>
  <c r="K32" i="1"/>
  <c r="L32" i="1"/>
  <c r="L20" i="1"/>
  <c r="K20" i="1"/>
  <c r="I43" i="1"/>
  <c r="I10" i="1" l="1"/>
  <c r="I39" i="1"/>
  <c r="I38" i="1"/>
  <c r="L43" i="1"/>
  <c r="L44" i="1" s="1"/>
  <c r="L45" i="1" s="1"/>
  <c r="L48" i="1" s="1"/>
  <c r="L49" i="1" s="1"/>
  <c r="K43" i="1"/>
  <c r="K44" i="1" s="1"/>
  <c r="K45" i="1" s="1"/>
  <c r="K38" i="1" l="1"/>
  <c r="L38" i="1"/>
  <c r="K39" i="1"/>
  <c r="L39" i="1"/>
  <c r="K10" i="1"/>
  <c r="L10" i="1"/>
</calcChain>
</file>

<file path=xl/sharedStrings.xml><?xml version="1.0" encoding="utf-8"?>
<sst xmlns="http://schemas.openxmlformats.org/spreadsheetml/2006/main" count="30" uniqueCount="27">
  <si>
    <t>bin left</t>
  </si>
  <si>
    <t>bin right</t>
  </si>
  <si>
    <t>NEP angle</t>
  </si>
  <si>
    <t>TISM</t>
  </si>
  <si>
    <t>kB</t>
  </si>
  <si>
    <t>mp</t>
  </si>
  <si>
    <t>mHe</t>
  </si>
  <si>
    <t>uHe</t>
  </si>
  <si>
    <t>rad</t>
  </si>
  <si>
    <t>peak  in lat</t>
  </si>
  <si>
    <t>vz</t>
  </si>
  <si>
    <t>vx</t>
  </si>
  <si>
    <t>cos(alpha)</t>
  </si>
  <si>
    <t>exp[ u**2/kT x cos alpha)</t>
  </si>
  <si>
    <t xml:space="preserve">integration over bin </t>
  </si>
  <si>
    <t>moment 1</t>
  </si>
  <si>
    <t>sum over the magic region</t>
  </si>
  <si>
    <t xml:space="preserve">plus/minus 30 </t>
  </si>
  <si>
    <t>center bin</t>
  </si>
  <si>
    <t xml:space="preserve">ave (moment 1) </t>
  </si>
  <si>
    <t>offset</t>
  </si>
  <si>
    <t>moment 2</t>
  </si>
  <si>
    <t>Temp estimate</t>
  </si>
  <si>
    <t>correction</t>
  </si>
  <si>
    <t>divid this correction using the actual delta's</t>
  </si>
  <si>
    <t>del alpha</t>
  </si>
  <si>
    <t xml:space="preserve">should 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</si>
</sst>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B6D9-63D3-7741-9C71-8A6627551F9A}">
  <dimension ref="A1:P883"/>
  <sheetViews>
    <sheetView tabSelected="1" workbookViewId="0">
      <selection activeCell="I16" sqref="I16"/>
    </sheetView>
  </sheetViews>
  <sheetFormatPr baseColWidth="10" defaultRowHeight="16" x14ac:dyDescent="0.2"/>
  <cols>
    <col min="6" max="6" width="24.1640625" customWidth="1"/>
    <col min="9" max="9" width="18.83203125" customWidth="1"/>
    <col min="11" max="11" width="12.1640625" bestFit="1" customWidth="1"/>
  </cols>
  <sheetData>
    <row r="1" spans="1:12" x14ac:dyDescent="0.2">
      <c r="D1" t="s">
        <v>8</v>
      </c>
      <c r="E1" t="s">
        <v>10</v>
      </c>
      <c r="F1" t="s">
        <v>11</v>
      </c>
    </row>
    <row r="2" spans="1:12" x14ac:dyDescent="0.2">
      <c r="B2" t="s">
        <v>3</v>
      </c>
      <c r="C2">
        <v>6000</v>
      </c>
    </row>
    <row r="3" spans="1:12" x14ac:dyDescent="0.2">
      <c r="B3" t="s">
        <v>4</v>
      </c>
      <c r="C3" s="1">
        <v>1.38E-16</v>
      </c>
    </row>
    <row r="4" spans="1:12" x14ac:dyDescent="0.2">
      <c r="B4" t="s">
        <v>5</v>
      </c>
      <c r="C4" s="1">
        <v>1.67E-24</v>
      </c>
    </row>
    <row r="5" spans="1:12" x14ac:dyDescent="0.2">
      <c r="B5" t="s">
        <v>6</v>
      </c>
      <c r="C5" s="1">
        <f>6.65E-24</f>
        <v>6.6500000000000006E-24</v>
      </c>
    </row>
    <row r="6" spans="1:12" x14ac:dyDescent="0.2">
      <c r="B6" t="s">
        <v>7</v>
      </c>
      <c r="C6" s="1">
        <v>2600000</v>
      </c>
    </row>
    <row r="7" spans="1:12" x14ac:dyDescent="0.2">
      <c r="B7" t="s">
        <v>9</v>
      </c>
      <c r="C7" s="1">
        <v>3.5</v>
      </c>
      <c r="D7" s="1">
        <f>C7*PI()/180</f>
        <v>6.1086523819801536E-2</v>
      </c>
      <c r="E7">
        <f>SIN(D7)</f>
        <v>6.1048539534856873E-2</v>
      </c>
      <c r="F7">
        <f>COS(D7)</f>
        <v>0.99813479842186692</v>
      </c>
    </row>
    <row r="8" spans="1:12" x14ac:dyDescent="0.2">
      <c r="C8" s="1"/>
    </row>
    <row r="9" spans="1:12" x14ac:dyDescent="0.2">
      <c r="A9" t="s">
        <v>2</v>
      </c>
      <c r="B9" t="s">
        <v>8</v>
      </c>
      <c r="C9" t="s">
        <v>10</v>
      </c>
      <c r="D9" t="s">
        <v>11</v>
      </c>
      <c r="E9" t="s">
        <v>12</v>
      </c>
      <c r="F9" t="s">
        <v>13</v>
      </c>
      <c r="G9" t="s">
        <v>0</v>
      </c>
      <c r="H9" t="s">
        <v>1</v>
      </c>
      <c r="I9" t="s">
        <v>14</v>
      </c>
      <c r="J9" t="s">
        <v>18</v>
      </c>
      <c r="K9" t="s">
        <v>15</v>
      </c>
      <c r="L9" t="s">
        <v>21</v>
      </c>
    </row>
    <row r="10" spans="1:12" x14ac:dyDescent="0.2">
      <c r="A10">
        <v>0</v>
      </c>
      <c r="B10">
        <f>A10*PI()/180</f>
        <v>0</v>
      </c>
      <c r="C10">
        <f>COS(B10)</f>
        <v>1</v>
      </c>
      <c r="D10">
        <f>SIN(B10)</f>
        <v>0</v>
      </c>
      <c r="E10">
        <f>C10*$E$7+D10*$F$7</f>
        <v>6.1048539534856873E-2</v>
      </c>
      <c r="F10">
        <f>EXP(E10*$C$5*$C$6^2/($C$3*$C$2))</f>
        <v>27.507641092145704</v>
      </c>
      <c r="G10">
        <v>-1.5</v>
      </c>
      <c r="H10">
        <v>7.5</v>
      </c>
      <c r="I10">
        <f>SUMIFS(F:F, A:A, "&gt;="&amp;G10, A:A, "&lt;="&amp;H10)</f>
        <v>185208.26244744638</v>
      </c>
      <c r="J10">
        <f>AVERAGE(G10:H10)</f>
        <v>3</v>
      </c>
      <c r="K10">
        <f>I10*J10</f>
        <v>555624.78734233917</v>
      </c>
      <c r="L10">
        <f>J10*J10*I10</f>
        <v>1666874.3620270174</v>
      </c>
    </row>
    <row r="11" spans="1:12" x14ac:dyDescent="0.2">
      <c r="A11">
        <v>0.1</v>
      </c>
      <c r="B11">
        <f t="shared" ref="B11:B74" si="0">A11*PI()/180</f>
        <v>1.7453292519943296E-3</v>
      </c>
      <c r="C11">
        <f t="shared" ref="C11:C74" si="1">COS(B11)</f>
        <v>0.99999847691328769</v>
      </c>
      <c r="D11">
        <f t="shared" ref="D11:D20" si="2">SIN(B11)</f>
        <v>1.7453283658983088E-3</v>
      </c>
      <c r="E11">
        <f t="shared" ref="E11:E20" si="3">C11*$E$7+D11*$F$7</f>
        <v>6.2790519529313374E-2</v>
      </c>
      <c r="F11">
        <f t="shared" ref="F11:F74" si="4">EXP(E11*$C$5*$C$6^2/($C$3*$C$2))</f>
        <v>30.236199729479107</v>
      </c>
      <c r="G11">
        <f>G10+6</f>
        <v>4.5</v>
      </c>
      <c r="H11">
        <f>H10+6</f>
        <v>13.5</v>
      </c>
      <c r="I11">
        <f>SUMIFS(F:F, A:A, "&gt;="&amp;G11, A:A, "&lt;="&amp;H11)</f>
        <v>46995179.515804581</v>
      </c>
      <c r="J11">
        <f t="shared" ref="J11:J39" si="5">AVERAGE(G11:H11)</f>
        <v>9</v>
      </c>
      <c r="K11">
        <f t="shared" ref="K11:K39" si="6">I11*J11</f>
        <v>422956615.64224124</v>
      </c>
      <c r="L11">
        <f t="shared" ref="L11:L39" si="7">J11*J11*I11</f>
        <v>3806609540.7801709</v>
      </c>
    </row>
    <row r="12" spans="1:12" x14ac:dyDescent="0.2">
      <c r="A12">
        <f>A11+0.2</f>
        <v>0.30000000000000004</v>
      </c>
      <c r="B12">
        <f t="shared" si="0"/>
        <v>5.235987755982989E-3</v>
      </c>
      <c r="C12">
        <f t="shared" si="1"/>
        <v>0.99998629224742674</v>
      </c>
      <c r="D12">
        <f t="shared" si="2"/>
        <v>5.2359638314195805E-3</v>
      </c>
      <c r="E12">
        <f t="shared" si="3"/>
        <v>6.6273900400000141E-2</v>
      </c>
      <c r="F12">
        <f t="shared" si="4"/>
        <v>36.530974957823631</v>
      </c>
      <c r="G12">
        <f t="shared" ref="G12:G39" si="8">G11+6</f>
        <v>10.5</v>
      </c>
      <c r="H12">
        <f t="shared" ref="H12:H39" si="9">H11+6</f>
        <v>19.5</v>
      </c>
      <c r="I12">
        <f t="shared" ref="I12:I39" si="10">SUMIFS(F:F, A:A, "&gt;="&amp;G12, A:A, "&lt;="&amp;H12)</f>
        <v>10124458174.063923</v>
      </c>
      <c r="J12">
        <f t="shared" si="5"/>
        <v>15</v>
      </c>
      <c r="K12">
        <f t="shared" si="6"/>
        <v>151866872610.95883</v>
      </c>
      <c r="L12">
        <f t="shared" si="7"/>
        <v>2278003089164.3828</v>
      </c>
    </row>
    <row r="13" spans="1:12" x14ac:dyDescent="0.2">
      <c r="A13">
        <f t="shared" ref="A13:A76" si="11">A12+0.2</f>
        <v>0.5</v>
      </c>
      <c r="B13">
        <f t="shared" si="0"/>
        <v>8.7266462599716477E-3</v>
      </c>
      <c r="C13">
        <f t="shared" si="1"/>
        <v>0.99996192306417131</v>
      </c>
      <c r="D13">
        <f t="shared" si="2"/>
        <v>8.7265354983739347E-3</v>
      </c>
      <c r="E13">
        <f t="shared" si="3"/>
        <v>6.9756473744125302E-2</v>
      </c>
      <c r="F13">
        <f t="shared" si="4"/>
        <v>44.134303791773533</v>
      </c>
      <c r="G13">
        <f t="shared" si="8"/>
        <v>16.5</v>
      </c>
      <c r="H13">
        <f t="shared" si="9"/>
        <v>25.5</v>
      </c>
      <c r="I13">
        <f t="shared" si="10"/>
        <v>1748849139516.4932</v>
      </c>
      <c r="J13">
        <f t="shared" si="5"/>
        <v>21</v>
      </c>
      <c r="K13">
        <f t="shared" si="6"/>
        <v>36725831929846.359</v>
      </c>
      <c r="L13">
        <f t="shared" si="7"/>
        <v>771242470526773.5</v>
      </c>
    </row>
    <row r="14" spans="1:12" x14ac:dyDescent="0.2">
      <c r="A14">
        <f t="shared" si="11"/>
        <v>0.7</v>
      </c>
      <c r="B14">
        <f t="shared" si="0"/>
        <v>1.2217304763960306E-2</v>
      </c>
      <c r="C14">
        <f t="shared" si="1"/>
        <v>0.99992536966045198</v>
      </c>
      <c r="D14">
        <f t="shared" si="2"/>
        <v>1.2217000835247169E-2</v>
      </c>
      <c r="E14">
        <f t="shared" si="3"/>
        <v>7.3238197127631688E-2</v>
      </c>
      <c r="F14">
        <f t="shared" si="4"/>
        <v>53.317681503520788</v>
      </c>
      <c r="G14">
        <f t="shared" si="8"/>
        <v>22.5</v>
      </c>
      <c r="H14">
        <f t="shared" si="9"/>
        <v>31.5</v>
      </c>
      <c r="I14">
        <f t="shared" si="10"/>
        <v>229293823130568.62</v>
      </c>
      <c r="J14">
        <f t="shared" si="5"/>
        <v>27</v>
      </c>
      <c r="K14">
        <f t="shared" si="6"/>
        <v>6190933224525353</v>
      </c>
      <c r="L14">
        <f t="shared" si="7"/>
        <v>1.6715519706218451E+17</v>
      </c>
    </row>
    <row r="15" spans="1:12" x14ac:dyDescent="0.2">
      <c r="A15">
        <f t="shared" si="11"/>
        <v>0.89999999999999991</v>
      </c>
      <c r="B15">
        <f t="shared" si="0"/>
        <v>1.5707963267948963E-2</v>
      </c>
      <c r="C15">
        <f t="shared" si="1"/>
        <v>0.99987663248166059</v>
      </c>
      <c r="D15">
        <f t="shared" si="2"/>
        <v>1.5707317311820672E-2</v>
      </c>
      <c r="E15">
        <f t="shared" si="3"/>
        <v>7.6719028126818634E-2</v>
      </c>
      <c r="F15">
        <f t="shared" si="4"/>
        <v>64.408797438434107</v>
      </c>
      <c r="G15">
        <f t="shared" si="8"/>
        <v>28.5</v>
      </c>
      <c r="H15">
        <f t="shared" si="9"/>
        <v>37.5</v>
      </c>
      <c r="I15">
        <f t="shared" si="10"/>
        <v>2.1676792242901452E+16</v>
      </c>
      <c r="J15">
        <f t="shared" si="5"/>
        <v>33</v>
      </c>
      <c r="K15">
        <f t="shared" si="6"/>
        <v>7.1533414401574797E+17</v>
      </c>
      <c r="L15">
        <f t="shared" si="7"/>
        <v>2.360602675251968E+19</v>
      </c>
    </row>
    <row r="16" spans="1:12" x14ac:dyDescent="0.2">
      <c r="A16">
        <f t="shared" si="11"/>
        <v>1.0999999999999999</v>
      </c>
      <c r="B16">
        <f t="shared" si="0"/>
        <v>1.9198621771937621E-2</v>
      </c>
      <c r="C16">
        <f t="shared" si="1"/>
        <v>0.99981571212164422</v>
      </c>
      <c r="D16">
        <f t="shared" si="2"/>
        <v>1.9197442399689662E-2</v>
      </c>
      <c r="E16">
        <f t="shared" si="3"/>
        <v>8.0198924328858917E-2</v>
      </c>
      <c r="F16">
        <f t="shared" si="4"/>
        <v>77.803132664929109</v>
      </c>
      <c r="G16">
        <f t="shared" si="8"/>
        <v>34.5</v>
      </c>
      <c r="H16">
        <f t="shared" si="9"/>
        <v>43.5</v>
      </c>
      <c r="I16">
        <f t="shared" si="10"/>
        <v>1.2349871305018885E+18</v>
      </c>
      <c r="J16">
        <f t="shared" si="5"/>
        <v>39</v>
      </c>
      <c r="K16">
        <f t="shared" si="6"/>
        <v>4.8164498089573655E+19</v>
      </c>
      <c r="L16">
        <f t="shared" si="7"/>
        <v>1.8784154254933725E+21</v>
      </c>
    </row>
    <row r="17" spans="1:12" x14ac:dyDescent="0.2">
      <c r="A17">
        <f t="shared" si="11"/>
        <v>1.2999999999999998</v>
      </c>
      <c r="B17">
        <f t="shared" si="0"/>
        <v>2.2689280275926278E-2</v>
      </c>
      <c r="C17">
        <f t="shared" si="1"/>
        <v>0.99974260932269832</v>
      </c>
      <c r="D17">
        <f t="shared" si="2"/>
        <v>2.2687333572781351E-2</v>
      </c>
      <c r="E17">
        <f t="shared" si="3"/>
        <v>8.3677843332315482E-2</v>
      </c>
      <c r="F17">
        <f t="shared" si="4"/>
        <v>93.977943176941068</v>
      </c>
      <c r="G17">
        <f t="shared" si="8"/>
        <v>40.5</v>
      </c>
      <c r="H17">
        <f t="shared" si="9"/>
        <v>49.5</v>
      </c>
      <c r="I17">
        <f t="shared" si="10"/>
        <v>5.3792419858498593E+19</v>
      </c>
      <c r="J17">
        <f t="shared" si="5"/>
        <v>45</v>
      </c>
      <c r="K17">
        <f t="shared" si="6"/>
        <v>2.4206588936324367E+21</v>
      </c>
      <c r="L17">
        <f t="shared" si="7"/>
        <v>1.0892965021345965E+23</v>
      </c>
    </row>
    <row r="18" spans="1:12" x14ac:dyDescent="0.2">
      <c r="A18">
        <f t="shared" si="11"/>
        <v>1.4999999999999998</v>
      </c>
      <c r="B18">
        <f t="shared" si="0"/>
        <v>2.6179938779914938E-2</v>
      </c>
      <c r="C18">
        <f t="shared" si="1"/>
        <v>0.99965732497555726</v>
      </c>
      <c r="D18">
        <f t="shared" si="2"/>
        <v>2.6176948307873146E-2</v>
      </c>
      <c r="E18">
        <f t="shared" si="3"/>
        <v>8.7155742747658166E-2</v>
      </c>
      <c r="F18">
        <f t="shared" si="4"/>
        <v>113.50911744658544</v>
      </c>
      <c r="G18">
        <f t="shared" si="8"/>
        <v>46.5</v>
      </c>
      <c r="H18">
        <f t="shared" si="9"/>
        <v>55.5</v>
      </c>
      <c r="I18">
        <f t="shared" si="10"/>
        <v>1.4930102418312958E+21</v>
      </c>
      <c r="J18">
        <f t="shared" si="5"/>
        <v>51</v>
      </c>
      <c r="K18">
        <f t="shared" si="6"/>
        <v>7.6143522333396079E+22</v>
      </c>
      <c r="L18">
        <f t="shared" si="7"/>
        <v>3.8833196390032002E+24</v>
      </c>
    </row>
    <row r="19" spans="1:12" x14ac:dyDescent="0.2">
      <c r="A19">
        <f t="shared" si="11"/>
        <v>1.6999999999999997</v>
      </c>
      <c r="B19">
        <f t="shared" si="0"/>
        <v>2.9670597283903595E-2</v>
      </c>
      <c r="C19">
        <f t="shared" si="1"/>
        <v>0.99955986011938402</v>
      </c>
      <c r="D19">
        <f t="shared" si="2"/>
        <v>2.966624408511075E-2</v>
      </c>
      <c r="E19">
        <f t="shared" si="3"/>
        <v>9.0632580197780144E-2</v>
      </c>
      <c r="F19">
        <f t="shared" si="4"/>
        <v>137.09149684027477</v>
      </c>
      <c r="G19">
        <f t="shared" si="8"/>
        <v>52.5</v>
      </c>
      <c r="H19">
        <f t="shared" si="9"/>
        <v>61.5</v>
      </c>
      <c r="I19">
        <f t="shared" si="10"/>
        <v>2.5628401696842805E+22</v>
      </c>
      <c r="J19">
        <f t="shared" si="5"/>
        <v>57</v>
      </c>
      <c r="K19">
        <f t="shared" si="6"/>
        <v>1.4608188967200398E+24</v>
      </c>
      <c r="L19">
        <f t="shared" si="7"/>
        <v>8.3266677113042276E+25</v>
      </c>
    </row>
    <row r="20" spans="1:12" x14ac:dyDescent="0.2">
      <c r="A20">
        <f t="shared" si="11"/>
        <v>1.8999999999999997</v>
      </c>
      <c r="B20">
        <f t="shared" si="0"/>
        <v>3.3161255787892259E-2</v>
      </c>
      <c r="C20">
        <f t="shared" si="1"/>
        <v>0.9994502159417572</v>
      </c>
      <c r="D20">
        <f t="shared" si="2"/>
        <v>3.3155178388526274E-2</v>
      </c>
      <c r="E20">
        <f t="shared" si="3"/>
        <v>9.4108313318514325E-2</v>
      </c>
      <c r="F20">
        <f t="shared" si="4"/>
        <v>165.56336736936458</v>
      </c>
      <c r="G20" s="2">
        <f t="shared" si="8"/>
        <v>58.5</v>
      </c>
      <c r="H20" s="2">
        <f t="shared" si="9"/>
        <v>67.5</v>
      </c>
      <c r="I20" s="2">
        <f t="shared" si="10"/>
        <v>2.659366281215568E+23</v>
      </c>
      <c r="J20" s="2">
        <f t="shared" si="5"/>
        <v>63</v>
      </c>
      <c r="K20" s="2">
        <f t="shared" si="6"/>
        <v>1.6754007571658078E+25</v>
      </c>
      <c r="L20" s="2">
        <f t="shared" si="7"/>
        <v>1.0555024770144589E+27</v>
      </c>
    </row>
    <row r="21" spans="1:12" x14ac:dyDescent="0.2">
      <c r="A21">
        <f t="shared" si="11"/>
        <v>2.0999999999999996</v>
      </c>
      <c r="B21">
        <f t="shared" si="0"/>
        <v>3.6651914291880916E-2</v>
      </c>
      <c r="C21">
        <f t="shared" si="1"/>
        <v>0.99932839377865623</v>
      </c>
      <c r="D21">
        <f t="shared" ref="D21:D84" si="12">SIN(B21)</f>
        <v>3.6643708706556269E-2</v>
      </c>
      <c r="E21">
        <f t="shared" ref="E21:E84" si="13">C21*$E$7+D21*$F$7</f>
        <v>9.7582899759149466E-2</v>
      </c>
      <c r="F21">
        <f t="shared" si="4"/>
        <v>199.93597553287634</v>
      </c>
      <c r="G21" s="2">
        <f t="shared" si="8"/>
        <v>64.5</v>
      </c>
      <c r="H21" s="2">
        <f t="shared" si="9"/>
        <v>73.5</v>
      </c>
      <c r="I21" s="2">
        <f t="shared" si="10"/>
        <v>1.6423525207101998E+24</v>
      </c>
      <c r="J21" s="2">
        <f t="shared" si="5"/>
        <v>69</v>
      </c>
      <c r="K21" s="2">
        <f t="shared" si="6"/>
        <v>1.1332232392900379E+26</v>
      </c>
      <c r="L21" s="2">
        <f t="shared" si="7"/>
        <v>7.8192403511012609E+27</v>
      </c>
    </row>
    <row r="22" spans="1:12" x14ac:dyDescent="0.2">
      <c r="A22">
        <f t="shared" si="11"/>
        <v>2.2999999999999998</v>
      </c>
      <c r="B22">
        <f t="shared" si="0"/>
        <v>4.0142572795869573E-2</v>
      </c>
      <c r="C22">
        <f t="shared" si="1"/>
        <v>0.99919439511444597</v>
      </c>
      <c r="D22">
        <f t="shared" si="12"/>
        <v>4.0131792532559725E-2</v>
      </c>
      <c r="E22">
        <f t="shared" si="13"/>
        <v>0.10105629718294634</v>
      </c>
      <c r="F22">
        <f t="shared" si="4"/>
        <v>241.42909453154766</v>
      </c>
      <c r="G22" s="2">
        <f t="shared" si="8"/>
        <v>70.5</v>
      </c>
      <c r="H22" s="2">
        <f t="shared" si="9"/>
        <v>79.5</v>
      </c>
      <c r="I22" s="2">
        <f t="shared" si="10"/>
        <v>5.9838481945469132E+24</v>
      </c>
      <c r="J22" s="2">
        <f t="shared" si="5"/>
        <v>75</v>
      </c>
      <c r="K22" s="2">
        <f t="shared" si="6"/>
        <v>4.487886145910185E+26</v>
      </c>
      <c r="L22" s="2">
        <f t="shared" si="7"/>
        <v>3.3659146094326387E+28</v>
      </c>
    </row>
    <row r="23" spans="1:12" x14ac:dyDescent="0.2">
      <c r="A23">
        <f t="shared" si="11"/>
        <v>2.5</v>
      </c>
      <c r="B23">
        <f t="shared" si="0"/>
        <v>4.3633231299858237E-2</v>
      </c>
      <c r="C23">
        <f t="shared" si="1"/>
        <v>0.9990482215818578</v>
      </c>
      <c r="D23">
        <f t="shared" si="12"/>
        <v>4.3619387365336E-2</v>
      </c>
      <c r="E23">
        <f t="shared" si="13"/>
        <v>0.10452846326765347</v>
      </c>
      <c r="F23">
        <f t="shared" si="4"/>
        <v>291.51387577936111</v>
      </c>
      <c r="G23" s="2">
        <f t="shared" si="8"/>
        <v>76.5</v>
      </c>
      <c r="H23" s="2">
        <f t="shared" si="9"/>
        <v>85.5</v>
      </c>
      <c r="I23" s="2">
        <f t="shared" si="10"/>
        <v>1.2818546927275318E+25</v>
      </c>
      <c r="J23" s="2">
        <f t="shared" si="5"/>
        <v>81</v>
      </c>
      <c r="K23" s="2">
        <f t="shared" si="6"/>
        <v>1.0383023011093008E+27</v>
      </c>
      <c r="L23" s="2">
        <f t="shared" si="7"/>
        <v>8.4102486389853363E+28</v>
      </c>
    </row>
    <row r="24" spans="1:12" x14ac:dyDescent="0.2">
      <c r="A24">
        <f t="shared" si="11"/>
        <v>2.7</v>
      </c>
      <c r="B24">
        <f t="shared" si="0"/>
        <v>4.7123889803846894E-2</v>
      </c>
      <c r="C24">
        <f t="shared" si="1"/>
        <v>0.99888987496197001</v>
      </c>
      <c r="D24">
        <f t="shared" si="12"/>
        <v>4.7106450709642658E-2</v>
      </c>
      <c r="E24">
        <f t="shared" si="13"/>
        <v>0.10799935570602284</v>
      </c>
      <c r="F24">
        <f t="shared" si="4"/>
        <v>351.96447147995116</v>
      </c>
      <c r="G24" s="2">
        <f t="shared" si="8"/>
        <v>82.5</v>
      </c>
      <c r="H24" s="2">
        <f t="shared" si="9"/>
        <v>91.5</v>
      </c>
      <c r="I24" s="2">
        <f t="shared" si="10"/>
        <v>1.6137834651261516E+25</v>
      </c>
      <c r="J24" s="2">
        <f t="shared" si="5"/>
        <v>87</v>
      </c>
      <c r="K24" s="2">
        <f t="shared" si="6"/>
        <v>1.4039916146597519E+27</v>
      </c>
      <c r="L24" s="2">
        <f t="shared" si="7"/>
        <v>1.2214727047539841E+29</v>
      </c>
    </row>
    <row r="25" spans="1:12" x14ac:dyDescent="0.2">
      <c r="A25">
        <f t="shared" si="11"/>
        <v>2.9000000000000004</v>
      </c>
      <c r="B25">
        <f t="shared" si="0"/>
        <v>5.0614548307835565E-2</v>
      </c>
      <c r="C25">
        <f t="shared" si="1"/>
        <v>0.99871935718418625</v>
      </c>
      <c r="D25">
        <f t="shared" si="12"/>
        <v>5.0592940076713319E-2</v>
      </c>
      <c r="E25">
        <f t="shared" si="13"/>
        <v>0.11146893220632548</v>
      </c>
      <c r="F25">
        <f t="shared" si="4"/>
        <v>424.9202155536442</v>
      </c>
      <c r="G25" s="2">
        <f t="shared" si="8"/>
        <v>88.5</v>
      </c>
      <c r="H25" s="2">
        <f t="shared" si="9"/>
        <v>97.5</v>
      </c>
      <c r="I25" s="2">
        <f t="shared" si="10"/>
        <v>1.1941655798378115E+25</v>
      </c>
      <c r="J25" s="2">
        <f t="shared" si="5"/>
        <v>93</v>
      </c>
      <c r="K25" s="2">
        <f t="shared" si="6"/>
        <v>1.1105739892491647E+27</v>
      </c>
      <c r="L25" s="2">
        <f t="shared" si="7"/>
        <v>1.0328338100017231E+29</v>
      </c>
    </row>
    <row r="26" spans="1:12" x14ac:dyDescent="0.2">
      <c r="A26">
        <f t="shared" si="11"/>
        <v>3.1000000000000005</v>
      </c>
      <c r="B26">
        <f t="shared" si="0"/>
        <v>5.4105206811824222E-2</v>
      </c>
      <c r="C26">
        <f t="shared" si="1"/>
        <v>0.99853667032621174</v>
      </c>
      <c r="D26">
        <f t="shared" si="12"/>
        <v>5.40788129847753E-2</v>
      </c>
      <c r="E26">
        <f t="shared" si="13"/>
        <v>0.11493715049286661</v>
      </c>
      <c r="F26">
        <f t="shared" si="4"/>
        <v>512.96051257341878</v>
      </c>
      <c r="G26" s="2">
        <f t="shared" si="8"/>
        <v>94.5</v>
      </c>
      <c r="H26" s="2">
        <f t="shared" si="9"/>
        <v>103.5</v>
      </c>
      <c r="I26" s="2">
        <f t="shared" si="10"/>
        <v>5.1930750454023172E+24</v>
      </c>
      <c r="J26" s="2">
        <f t="shared" si="5"/>
        <v>99</v>
      </c>
      <c r="K26" s="2">
        <f t="shared" si="6"/>
        <v>5.1411442949482939E+26</v>
      </c>
      <c r="L26" s="2">
        <f t="shared" si="7"/>
        <v>5.0897328519988113E+28</v>
      </c>
    </row>
    <row r="27" spans="1:12" x14ac:dyDescent="0.2">
      <c r="A27">
        <f t="shared" si="11"/>
        <v>3.3000000000000007</v>
      </c>
      <c r="B27">
        <f t="shared" si="0"/>
        <v>5.7595865315812886E-2</v>
      </c>
      <c r="C27">
        <f t="shared" si="1"/>
        <v>0.99834181661402832</v>
      </c>
      <c r="D27">
        <f t="shared" si="12"/>
        <v>5.7564026959567291E-2</v>
      </c>
      <c r="E27">
        <f t="shared" si="13"/>
        <v>0.11840396830650095</v>
      </c>
      <c r="F27">
        <f t="shared" si="4"/>
        <v>619.19501980214216</v>
      </c>
      <c r="G27" s="2">
        <f t="shared" si="8"/>
        <v>100.5</v>
      </c>
      <c r="H27" s="2">
        <f t="shared" si="9"/>
        <v>109.5</v>
      </c>
      <c r="I27" s="2">
        <f t="shared" si="10"/>
        <v>1.3280879666741109E+24</v>
      </c>
      <c r="J27" s="2">
        <f t="shared" si="5"/>
        <v>105</v>
      </c>
      <c r="K27" s="2">
        <f t="shared" si="6"/>
        <v>1.3944923650078164E+26</v>
      </c>
      <c r="L27" s="2">
        <f t="shared" si="7"/>
        <v>1.4642169832582072E+28</v>
      </c>
    </row>
    <row r="28" spans="1:12" x14ac:dyDescent="0.2">
      <c r="A28">
        <f t="shared" si="11"/>
        <v>3.5000000000000009</v>
      </c>
      <c r="B28">
        <f t="shared" si="0"/>
        <v>6.108652381980155E-2</v>
      </c>
      <c r="C28">
        <f t="shared" si="1"/>
        <v>0.99813479842186692</v>
      </c>
      <c r="D28">
        <f t="shared" si="12"/>
        <v>6.1048539534856887E-2</v>
      </c>
      <c r="E28">
        <f t="shared" si="13"/>
        <v>0.12186934340514749</v>
      </c>
      <c r="F28">
        <f t="shared" si="4"/>
        <v>747.37223055879292</v>
      </c>
      <c r="G28" s="2">
        <f t="shared" si="8"/>
        <v>106.5</v>
      </c>
      <c r="H28" s="2">
        <f t="shared" si="9"/>
        <v>115.5</v>
      </c>
      <c r="I28" s="2">
        <f t="shared" si="10"/>
        <v>2.0054385187273423E+23</v>
      </c>
      <c r="J28" s="2">
        <f t="shared" si="5"/>
        <v>111</v>
      </c>
      <c r="K28" s="2">
        <f t="shared" si="6"/>
        <v>2.22603675578735E+25</v>
      </c>
      <c r="L28" s="2">
        <f t="shared" si="7"/>
        <v>2.4709007989239585E+27</v>
      </c>
    </row>
    <row r="29" spans="1:12" x14ac:dyDescent="0.2">
      <c r="A29">
        <f t="shared" si="11"/>
        <v>3.7000000000000011</v>
      </c>
      <c r="B29">
        <f t="shared" si="0"/>
        <v>6.4577182323790214E-2</v>
      </c>
      <c r="C29">
        <f t="shared" si="1"/>
        <v>0.99791561827217901</v>
      </c>
      <c r="D29">
        <f t="shared" si="12"/>
        <v>6.4532308252957998E-2</v>
      </c>
      <c r="E29">
        <f t="shared" si="13"/>
        <v>0.12533323356430426</v>
      </c>
      <c r="F29">
        <f t="shared" si="4"/>
        <v>902.01019553125582</v>
      </c>
      <c r="G29" s="2">
        <f t="shared" si="8"/>
        <v>112.5</v>
      </c>
      <c r="H29" s="2">
        <f t="shared" si="9"/>
        <v>121.5</v>
      </c>
      <c r="I29" s="2">
        <f t="shared" si="10"/>
        <v>1.8052872035104861E+22</v>
      </c>
      <c r="J29" s="2">
        <f t="shared" si="5"/>
        <v>117</v>
      </c>
      <c r="K29" s="2">
        <f t="shared" si="6"/>
        <v>2.1121860281072687E+24</v>
      </c>
      <c r="L29" s="2">
        <f t="shared" si="7"/>
        <v>2.4712576528855044E+26</v>
      </c>
    </row>
    <row r="30" spans="1:12" x14ac:dyDescent="0.2">
      <c r="A30">
        <f t="shared" si="11"/>
        <v>3.9000000000000012</v>
      </c>
      <c r="B30">
        <f t="shared" si="0"/>
        <v>6.8067840827778864E-2</v>
      </c>
      <c r="C30">
        <f t="shared" si="1"/>
        <v>0.99768427883560529</v>
      </c>
      <c r="D30">
        <f t="shared" si="12"/>
        <v>6.8015290665248182E-2</v>
      </c>
      <c r="E30">
        <f t="shared" si="13"/>
        <v>0.12879559657756279</v>
      </c>
      <c r="F30">
        <f t="shared" si="4"/>
        <v>1088.5538733398894</v>
      </c>
      <c r="G30">
        <f t="shared" si="8"/>
        <v>118.5</v>
      </c>
      <c r="H30">
        <f t="shared" si="9"/>
        <v>127.5</v>
      </c>
      <c r="I30">
        <f t="shared" si="10"/>
        <v>9.849667790669223E+20</v>
      </c>
      <c r="J30">
        <f t="shared" si="5"/>
        <v>123</v>
      </c>
      <c r="K30">
        <f t="shared" si="6"/>
        <v>1.2115091382523144E+23</v>
      </c>
      <c r="L30">
        <f t="shared" si="7"/>
        <v>1.4901562400503468E+25</v>
      </c>
    </row>
    <row r="31" spans="1:12" x14ac:dyDescent="0.2">
      <c r="A31">
        <f t="shared" si="11"/>
        <v>4.1000000000000014</v>
      </c>
      <c r="B31">
        <f t="shared" si="0"/>
        <v>7.1558499331767542E-2</v>
      </c>
      <c r="C31">
        <f t="shared" si="1"/>
        <v>0.99744078293094396</v>
      </c>
      <c r="D31">
        <f t="shared" si="12"/>
        <v>7.1497444332685955E-2</v>
      </c>
      <c r="E31">
        <f t="shared" si="13"/>
        <v>0.13225639025712246</v>
      </c>
      <c r="F31">
        <f t="shared" si="4"/>
        <v>1313.5645078587972</v>
      </c>
      <c r="G31">
        <f t="shared" si="8"/>
        <v>124.5</v>
      </c>
      <c r="H31">
        <f t="shared" si="9"/>
        <v>133.5</v>
      </c>
      <c r="I31">
        <f t="shared" si="10"/>
        <v>3.3355787273398014E+19</v>
      </c>
      <c r="J31">
        <f t="shared" si="5"/>
        <v>129</v>
      </c>
      <c r="K31">
        <f t="shared" si="6"/>
        <v>4.3028965582683436E+21</v>
      </c>
      <c r="L31">
        <f t="shared" si="7"/>
        <v>5.5507365601661634E+23</v>
      </c>
    </row>
    <row r="32" spans="1:12" x14ac:dyDescent="0.2">
      <c r="A32">
        <f t="shared" si="11"/>
        <v>4.3000000000000016</v>
      </c>
      <c r="B32">
        <f t="shared" si="0"/>
        <v>7.5049157835756192E-2</v>
      </c>
      <c r="C32">
        <f t="shared" si="1"/>
        <v>0.99718513352511573</v>
      </c>
      <c r="D32">
        <f t="shared" si="12"/>
        <v>7.4978726826327724E-2</v>
      </c>
      <c r="E32">
        <f t="shared" si="13"/>
        <v>0.1357155724343044</v>
      </c>
      <c r="F32">
        <f t="shared" si="4"/>
        <v>1584.9475177399836</v>
      </c>
      <c r="G32">
        <f t="shared" si="8"/>
        <v>130.5</v>
      </c>
      <c r="H32">
        <f t="shared" si="9"/>
        <v>139.5</v>
      </c>
      <c r="I32">
        <f t="shared" si="10"/>
        <v>7.230198951327415E+17</v>
      </c>
      <c r="J32">
        <f t="shared" si="5"/>
        <v>135</v>
      </c>
      <c r="K32">
        <f t="shared" si="6"/>
        <v>9.7607685842920096E+19</v>
      </c>
      <c r="L32">
        <f t="shared" si="7"/>
        <v>1.3177037588794213E+22</v>
      </c>
    </row>
    <row r="33" spans="1:16" x14ac:dyDescent="0.2">
      <c r="A33">
        <f t="shared" si="11"/>
        <v>4.5000000000000018</v>
      </c>
      <c r="B33">
        <f t="shared" si="0"/>
        <v>7.8539816339744856E-2</v>
      </c>
      <c r="C33">
        <f t="shared" si="1"/>
        <v>0.99691733373312796</v>
      </c>
      <c r="D33">
        <f t="shared" si="12"/>
        <v>7.8459095727844971E-2</v>
      </c>
      <c r="E33">
        <f t="shared" si="13"/>
        <v>0.13917310096006547</v>
      </c>
      <c r="F33">
        <f t="shared" si="4"/>
        <v>1912.2266894624927</v>
      </c>
      <c r="G33">
        <f t="shared" si="8"/>
        <v>136.5</v>
      </c>
      <c r="H33">
        <f t="shared" si="9"/>
        <v>145.5</v>
      </c>
      <c r="I33">
        <f t="shared" si="10"/>
        <v>1.041187005351281E+16</v>
      </c>
      <c r="J33">
        <f t="shared" si="5"/>
        <v>141</v>
      </c>
      <c r="K33">
        <f t="shared" si="6"/>
        <v>1.4680736775453061E+18</v>
      </c>
      <c r="L33">
        <f t="shared" si="7"/>
        <v>2.0699838853388819E+20</v>
      </c>
    </row>
    <row r="34" spans="1:16" x14ac:dyDescent="0.2">
      <c r="A34">
        <f t="shared" si="11"/>
        <v>4.700000000000002</v>
      </c>
      <c r="B34">
        <f t="shared" si="0"/>
        <v>8.203047484373352E-2</v>
      </c>
      <c r="C34">
        <f t="shared" si="1"/>
        <v>0.9966373868180366</v>
      </c>
      <c r="D34">
        <f t="shared" si="12"/>
        <v>8.1938508630040957E-2</v>
      </c>
      <c r="E34">
        <f t="shared" si="13"/>
        <v>0.14262893370551169</v>
      </c>
      <c r="F34">
        <f t="shared" si="4"/>
        <v>2306.8740324060109</v>
      </c>
      <c r="G34">
        <f t="shared" si="8"/>
        <v>142.5</v>
      </c>
      <c r="H34">
        <f t="shared" si="9"/>
        <v>151.5</v>
      </c>
      <c r="I34">
        <f t="shared" si="10"/>
        <v>103928062116106.11</v>
      </c>
      <c r="J34">
        <f t="shared" si="5"/>
        <v>147</v>
      </c>
      <c r="K34">
        <f t="shared" si="6"/>
        <v>1.5277425131067598E+16</v>
      </c>
      <c r="L34">
        <f t="shared" si="7"/>
        <v>2.2457814942669368E+18</v>
      </c>
    </row>
    <row r="35" spans="1:16" x14ac:dyDescent="0.2">
      <c r="A35">
        <f t="shared" si="11"/>
        <v>4.9000000000000021</v>
      </c>
      <c r="B35">
        <f t="shared" si="0"/>
        <v>8.5521133347722184E-2</v>
      </c>
      <c r="C35">
        <f t="shared" si="1"/>
        <v>0.99634529619090639</v>
      </c>
      <c r="D35">
        <f t="shared" si="12"/>
        <v>8.5416923137367498E-2</v>
      </c>
      <c r="E35">
        <f t="shared" si="13"/>
        <v>0.14608302856241162</v>
      </c>
      <c r="F35">
        <f t="shared" si="4"/>
        <v>2782.706534851618</v>
      </c>
      <c r="G35">
        <f t="shared" si="8"/>
        <v>148.5</v>
      </c>
      <c r="H35">
        <f t="shared" si="9"/>
        <v>157.5</v>
      </c>
      <c r="I35">
        <f t="shared" si="10"/>
        <v>754303022630.38037</v>
      </c>
      <c r="J35">
        <f t="shared" si="5"/>
        <v>153</v>
      </c>
      <c r="K35">
        <f t="shared" si="6"/>
        <v>115408362462448.2</v>
      </c>
      <c r="L35">
        <f t="shared" si="7"/>
        <v>1.7657479456754574E+16</v>
      </c>
    </row>
    <row r="36" spans="1:16" x14ac:dyDescent="0.2">
      <c r="A36">
        <f t="shared" si="11"/>
        <v>5.1000000000000023</v>
      </c>
      <c r="B36">
        <f t="shared" si="0"/>
        <v>8.9011791851710848E-2</v>
      </c>
      <c r="C36">
        <f t="shared" si="1"/>
        <v>0.99604106541076953</v>
      </c>
      <c r="D36">
        <f t="shared" si="12"/>
        <v>8.8894296866441555E-2</v>
      </c>
      <c r="E36">
        <f t="shared" si="13"/>
        <v>0.14953534344370956</v>
      </c>
      <c r="F36">
        <f t="shared" si="4"/>
        <v>3356.3633156074497</v>
      </c>
      <c r="G36">
        <f t="shared" si="8"/>
        <v>154.5</v>
      </c>
      <c r="H36">
        <f t="shared" si="9"/>
        <v>163.5</v>
      </c>
      <c r="I36">
        <f t="shared" si="10"/>
        <v>4192613422.1997623</v>
      </c>
      <c r="J36">
        <f t="shared" si="5"/>
        <v>159</v>
      </c>
      <c r="K36">
        <f t="shared" si="6"/>
        <v>666625534129.76221</v>
      </c>
      <c r="L36">
        <f t="shared" si="7"/>
        <v>105993459926632.19</v>
      </c>
    </row>
    <row r="37" spans="1:16" x14ac:dyDescent="0.2">
      <c r="A37">
        <f t="shared" si="11"/>
        <v>5.3000000000000025</v>
      </c>
      <c r="B37">
        <f t="shared" si="0"/>
        <v>9.2502450355699511E-2</v>
      </c>
      <c r="C37">
        <f t="shared" si="1"/>
        <v>0.99572469818458209</v>
      </c>
      <c r="D37">
        <f t="shared" si="12"/>
        <v>9.2370587446561625E-2</v>
      </c>
      <c r="E37">
        <f t="shared" si="13"/>
        <v>0.15298583628403811</v>
      </c>
      <c r="F37">
        <f t="shared" si="4"/>
        <v>4047.879371552468</v>
      </c>
      <c r="G37">
        <f t="shared" si="8"/>
        <v>160.5</v>
      </c>
      <c r="H37">
        <f t="shared" si="9"/>
        <v>169.5</v>
      </c>
      <c r="I37">
        <f t="shared" si="10"/>
        <v>15705321.732649991</v>
      </c>
      <c r="J37">
        <f t="shared" si="5"/>
        <v>165</v>
      </c>
      <c r="K37">
        <f t="shared" si="6"/>
        <v>2591378085.8872485</v>
      </c>
      <c r="L37">
        <f t="shared" si="7"/>
        <v>427577384171.396</v>
      </c>
    </row>
    <row r="38" spans="1:16" x14ac:dyDescent="0.2">
      <c r="A38">
        <f t="shared" si="11"/>
        <v>5.5000000000000027</v>
      </c>
      <c r="B38">
        <f t="shared" si="0"/>
        <v>9.5993108859688175E-2</v>
      </c>
      <c r="C38">
        <f t="shared" si="1"/>
        <v>0.99539619836717885</v>
      </c>
      <c r="D38">
        <f t="shared" si="12"/>
        <v>9.5845752520224037E-2</v>
      </c>
      <c r="E38">
        <f t="shared" si="13"/>
        <v>0.15643446504023092</v>
      </c>
      <c r="F38">
        <f t="shared" si="4"/>
        <v>4881.3753658320784</v>
      </c>
      <c r="G38">
        <f t="shared" si="8"/>
        <v>166.5</v>
      </c>
      <c r="H38">
        <f t="shared" si="9"/>
        <v>175.5</v>
      </c>
      <c r="I38">
        <f t="shared" si="10"/>
        <v>60344.632790733202</v>
      </c>
      <c r="J38">
        <f t="shared" si="5"/>
        <v>171</v>
      </c>
      <c r="K38">
        <f t="shared" si="6"/>
        <v>10318932.207215378</v>
      </c>
      <c r="L38">
        <f t="shared" si="7"/>
        <v>1764537407.4338295</v>
      </c>
    </row>
    <row r="39" spans="1:16" x14ac:dyDescent="0.2">
      <c r="A39">
        <f t="shared" si="11"/>
        <v>5.7000000000000028</v>
      </c>
      <c r="B39">
        <f t="shared" si="0"/>
        <v>9.9483767363676825E-2</v>
      </c>
      <c r="C39">
        <f t="shared" si="1"/>
        <v>0.99505556996122624</v>
      </c>
      <c r="D39">
        <f t="shared" si="12"/>
        <v>9.9319749743639052E-2</v>
      </c>
      <c r="E39">
        <f t="shared" si="13"/>
        <v>0.1598811876918349</v>
      </c>
      <c r="F39">
        <f t="shared" si="4"/>
        <v>5885.8867912561</v>
      </c>
      <c r="G39">
        <f t="shared" si="8"/>
        <v>172.5</v>
      </c>
      <c r="H39">
        <f t="shared" si="9"/>
        <v>181.5</v>
      </c>
      <c r="I39">
        <f t="shared" si="10"/>
        <v>179.96936592902824</v>
      </c>
      <c r="J39">
        <f t="shared" si="5"/>
        <v>177</v>
      </c>
      <c r="K39">
        <f t="shared" si="6"/>
        <v>31854.577769437998</v>
      </c>
      <c r="L39">
        <f t="shared" si="7"/>
        <v>5638260.2651905259</v>
      </c>
    </row>
    <row r="40" spans="1:16" x14ac:dyDescent="0.2">
      <c r="A40">
        <f t="shared" si="11"/>
        <v>5.900000000000003</v>
      </c>
      <c r="B40">
        <f t="shared" si="0"/>
        <v>0.10297442586766549</v>
      </c>
      <c r="C40">
        <f t="shared" si="1"/>
        <v>0.99470281711717423</v>
      </c>
      <c r="D40">
        <f t="shared" si="12"/>
        <v>0.10279253678724685</v>
      </c>
      <c r="E40">
        <f t="shared" si="13"/>
        <v>0.1633259622416223</v>
      </c>
      <c r="F40">
        <f t="shared" si="4"/>
        <v>7096.3605060682212</v>
      </c>
    </row>
    <row r="41" spans="1:16" x14ac:dyDescent="0.2">
      <c r="A41">
        <f t="shared" si="11"/>
        <v>6.1000000000000032</v>
      </c>
      <c r="B41">
        <f t="shared" si="0"/>
        <v>0.10646508437165415</v>
      </c>
      <c r="C41">
        <f t="shared" si="1"/>
        <v>0.99433794413320464</v>
      </c>
      <c r="D41">
        <f t="shared" si="12"/>
        <v>0.10626407133623325</v>
      </c>
      <c r="E41">
        <f t="shared" si="13"/>
        <v>0.16676874671610231</v>
      </c>
      <c r="F41">
        <f t="shared" si="4"/>
        <v>8554.8522270571484</v>
      </c>
    </row>
    <row r="42" spans="1:16" x14ac:dyDescent="0.2">
      <c r="A42">
        <f t="shared" si="11"/>
        <v>6.3000000000000034</v>
      </c>
      <c r="B42">
        <f t="shared" si="0"/>
        <v>0.1099557428756428</v>
      </c>
      <c r="C42">
        <f t="shared" si="1"/>
        <v>0.99396095545517971</v>
      </c>
      <c r="D42">
        <f t="shared" si="12"/>
        <v>0.10973431109104531</v>
      </c>
      <c r="E42">
        <f t="shared" si="13"/>
        <v>0.17020949916603262</v>
      </c>
      <c r="F42">
        <f t="shared" si="4"/>
        <v>10311.965260142048</v>
      </c>
    </row>
    <row r="43" spans="1:16" x14ac:dyDescent="0.2">
      <c r="A43">
        <f t="shared" si="11"/>
        <v>6.5000000000000036</v>
      </c>
      <c r="B43">
        <f t="shared" si="0"/>
        <v>0.11344640137963148</v>
      </c>
      <c r="C43">
        <f t="shared" si="1"/>
        <v>0.99357185567658746</v>
      </c>
      <c r="D43">
        <f t="shared" si="12"/>
        <v>0.11320321376790678</v>
      </c>
      <c r="E43">
        <f t="shared" si="13"/>
        <v>0.17364817766693041</v>
      </c>
      <c r="F43">
        <f t="shared" si="4"/>
        <v>12428.57876884263</v>
      </c>
      <c r="G43" t="s">
        <v>16</v>
      </c>
      <c r="I43">
        <f>SUM(I20:I29)</f>
        <v>5.5529934456277889E+25</v>
      </c>
      <c r="K43">
        <f>SUM(K20:K29)</f>
        <v>4.8096690706914899E+27</v>
      </c>
      <c r="L43">
        <f>SUM(L20:L29)</f>
        <v>4.2032455170464895E+29</v>
      </c>
    </row>
    <row r="44" spans="1:16" x14ac:dyDescent="0.2">
      <c r="A44">
        <f t="shared" si="11"/>
        <v>6.7000000000000037</v>
      </c>
      <c r="B44">
        <f t="shared" si="0"/>
        <v>0.11693705988362015</v>
      </c>
      <c r="C44">
        <f t="shared" si="1"/>
        <v>0.99317064953848599</v>
      </c>
      <c r="D44">
        <f t="shared" si="12"/>
        <v>0.11667073709933323</v>
      </c>
      <c r="E44">
        <f t="shared" si="13"/>
        <v>0.17708474031958335</v>
      </c>
      <c r="F44">
        <f t="shared" si="4"/>
        <v>14977.923486646092</v>
      </c>
      <c r="G44" t="s">
        <v>17</v>
      </c>
      <c r="J44" t="s">
        <v>19</v>
      </c>
      <c r="K44">
        <f>K43/I43</f>
        <v>86.613987892934333</v>
      </c>
      <c r="L44">
        <f>L43/I43</f>
        <v>7569.3327539508655</v>
      </c>
      <c r="O44" t="s">
        <v>26</v>
      </c>
      <c r="P44" s="1">
        <f>90-C7</f>
        <v>86.5</v>
      </c>
    </row>
    <row r="45" spans="1:16" x14ac:dyDescent="0.2">
      <c r="A45">
        <f t="shared" si="11"/>
        <v>6.9000000000000039</v>
      </c>
      <c r="B45">
        <f t="shared" si="0"/>
        <v>0.12042771838760881</v>
      </c>
      <c r="C45">
        <f t="shared" si="1"/>
        <v>0.99275734192944554</v>
      </c>
      <c r="D45">
        <f t="shared" si="12"/>
        <v>0.12013683883464717</v>
      </c>
      <c r="E45">
        <f t="shared" si="13"/>
        <v>0.18051914525056004</v>
      </c>
      <c r="F45">
        <f t="shared" si="4"/>
        <v>18048.074281080484</v>
      </c>
      <c r="J45" t="s">
        <v>20</v>
      </c>
      <c r="K45" s="1">
        <f>K44-(90-C7)</f>
        <v>0.11398789293433254</v>
      </c>
      <c r="L45">
        <f>SQRT(L44-K44^2)</f>
        <v>8.206695756118318</v>
      </c>
      <c r="M45" t="s">
        <v>25</v>
      </c>
    </row>
    <row r="46" spans="1:16" x14ac:dyDescent="0.2">
      <c r="A46">
        <f t="shared" si="11"/>
        <v>7.1000000000000041</v>
      </c>
      <c r="B46">
        <f t="shared" si="0"/>
        <v>0.12391837689159746</v>
      </c>
      <c r="C46">
        <f t="shared" si="1"/>
        <v>0.99233193788548868</v>
      </c>
      <c r="D46">
        <f t="shared" si="12"/>
        <v>0.12360147674049277</v>
      </c>
      <c r="E46">
        <f t="shared" si="13"/>
        <v>0.18395135061272022</v>
      </c>
      <c r="F46">
        <f t="shared" si="4"/>
        <v>21744.942746591987</v>
      </c>
    </row>
    <row r="47" spans="1:16" x14ac:dyDescent="0.2">
      <c r="A47">
        <f t="shared" si="11"/>
        <v>7.3000000000000043</v>
      </c>
      <c r="B47">
        <f t="shared" si="0"/>
        <v>0.12740903539558612</v>
      </c>
      <c r="C47">
        <f t="shared" si="1"/>
        <v>0.99189444259002968</v>
      </c>
      <c r="D47">
        <f t="shared" si="12"/>
        <v>0.12706460860135055</v>
      </c>
      <c r="E47">
        <f t="shared" si="13"/>
        <v>0.18738131458572471</v>
      </c>
      <c r="F47">
        <f t="shared" si="4"/>
        <v>26195.869483464416</v>
      </c>
    </row>
    <row r="48" spans="1:16" x14ac:dyDescent="0.2">
      <c r="A48">
        <f t="shared" si="11"/>
        <v>7.5000000000000044</v>
      </c>
      <c r="B48">
        <f t="shared" si="0"/>
        <v>0.13089969389957479</v>
      </c>
      <c r="C48">
        <f t="shared" si="1"/>
        <v>0.99144486137381038</v>
      </c>
      <c r="D48">
        <f t="shared" si="12"/>
        <v>0.13052619222005166</v>
      </c>
      <c r="E48">
        <f t="shared" si="13"/>
        <v>0.19080899537654489</v>
      </c>
      <c r="F48">
        <f t="shared" si="4"/>
        <v>31553.935440292207</v>
      </c>
      <c r="K48" t="s">
        <v>22</v>
      </c>
      <c r="L48" s="1">
        <f>C5*C6^2/C3*(L45*PI()/180)^2</f>
        <v>6683.1415028320625</v>
      </c>
    </row>
    <row r="49" spans="1:12" x14ac:dyDescent="0.2">
      <c r="A49">
        <f t="shared" si="11"/>
        <v>7.7000000000000046</v>
      </c>
      <c r="B49">
        <f t="shared" si="0"/>
        <v>0.13439035240356345</v>
      </c>
      <c r="C49">
        <f t="shared" si="1"/>
        <v>0.99098319971483628</v>
      </c>
      <c r="D49">
        <f t="shared" si="12"/>
        <v>0.13398618541829213</v>
      </c>
      <c r="E49">
        <f t="shared" si="13"/>
        <v>0.19423435121997207</v>
      </c>
      <c r="F49">
        <f t="shared" si="4"/>
        <v>38003.135289594931</v>
      </c>
      <c r="K49" t="s">
        <v>23</v>
      </c>
      <c r="L49" s="1">
        <f>L48/C2</f>
        <v>1.1138569171386772</v>
      </c>
    </row>
    <row r="50" spans="1:12" x14ac:dyDescent="0.2">
      <c r="A50">
        <f t="shared" si="11"/>
        <v>7.9000000000000048</v>
      </c>
      <c r="B50">
        <f t="shared" si="0"/>
        <v>0.13788101090755212</v>
      </c>
      <c r="C50">
        <f t="shared" si="1"/>
        <v>0.9905094632383088</v>
      </c>
      <c r="D50">
        <f t="shared" si="12"/>
        <v>0.13744454603714673</v>
      </c>
      <c r="E50">
        <f t="shared" si="13"/>
        <v>0.19765734037912622</v>
      </c>
      <c r="F50">
        <f t="shared" si="4"/>
        <v>45764.58402375337</v>
      </c>
    </row>
    <row r="51" spans="1:12" x14ac:dyDescent="0.2">
      <c r="A51">
        <f t="shared" si="11"/>
        <v>8.100000000000005</v>
      </c>
      <c r="B51">
        <f t="shared" si="0"/>
        <v>0.14137166941154078</v>
      </c>
      <c r="C51">
        <f t="shared" si="1"/>
        <v>0.99002365771655754</v>
      </c>
      <c r="D51">
        <f t="shared" si="12"/>
        <v>0.14090123193758275</v>
      </c>
      <c r="E51">
        <f t="shared" si="13"/>
        <v>0.20107792114596473</v>
      </c>
      <c r="F51">
        <f t="shared" si="4"/>
        <v>55103.961700585656</v>
      </c>
      <c r="K51" t="s">
        <v>24</v>
      </c>
    </row>
    <row r="52" spans="1:12" x14ac:dyDescent="0.2">
      <c r="A52">
        <f t="shared" si="11"/>
        <v>8.3000000000000043</v>
      </c>
      <c r="B52">
        <f t="shared" si="0"/>
        <v>0.14486232791552942</v>
      </c>
      <c r="C52">
        <f t="shared" si="1"/>
        <v>0.98952578906896949</v>
      </c>
      <c r="D52">
        <f t="shared" si="12"/>
        <v>0.14435620100097327</v>
      </c>
      <c r="E52">
        <f t="shared" si="13"/>
        <v>0.20449605184179037</v>
      </c>
      <c r="F52">
        <f t="shared" si="4"/>
        <v>66340.441606738008</v>
      </c>
    </row>
    <row r="53" spans="1:12" x14ac:dyDescent="0.2">
      <c r="A53">
        <f t="shared" si="11"/>
        <v>8.5000000000000036</v>
      </c>
      <c r="B53">
        <f t="shared" si="0"/>
        <v>0.14835298641951808</v>
      </c>
      <c r="C53">
        <f t="shared" si="1"/>
        <v>0.98901586336191682</v>
      </c>
      <c r="D53">
        <f t="shared" si="12"/>
        <v>0.14780941112961068</v>
      </c>
      <c r="E53">
        <f t="shared" si="13"/>
        <v>0.2079116908177594</v>
      </c>
      <c r="F53">
        <f t="shared" si="4"/>
        <v>79857.395320857351</v>
      </c>
    </row>
    <row r="54" spans="1:12" x14ac:dyDescent="0.2">
      <c r="A54">
        <f t="shared" si="11"/>
        <v>8.7000000000000028</v>
      </c>
      <c r="B54">
        <f t="shared" si="0"/>
        <v>0.15184364492350672</v>
      </c>
      <c r="C54">
        <f t="shared" si="1"/>
        <v>0.98849388680868355</v>
      </c>
      <c r="D54">
        <f t="shared" si="12"/>
        <v>0.15126082024721926</v>
      </c>
      <c r="E54">
        <f t="shared" si="13"/>
        <v>0.21132479645538871</v>
      </c>
      <c r="F54">
        <f t="shared" si="4"/>
        <v>96115.225770771736</v>
      </c>
    </row>
    <row r="55" spans="1:12" x14ac:dyDescent="0.2">
      <c r="A55">
        <f>A54+0.2</f>
        <v>8.9000000000000021</v>
      </c>
      <c r="B55">
        <f t="shared" si="0"/>
        <v>0.15533430342749535</v>
      </c>
      <c r="C55">
        <f t="shared" si="1"/>
        <v>0.9879598657693891</v>
      </c>
      <c r="D55">
        <f t="shared" si="12"/>
        <v>0.15471038629946812</v>
      </c>
      <c r="E55">
        <f t="shared" si="13"/>
        <v>0.21473532716706323</v>
      </c>
      <c r="F55">
        <f t="shared" si="4"/>
        <v>115666.74820501071</v>
      </c>
    </row>
    <row r="56" spans="1:12" x14ac:dyDescent="0.2">
      <c r="A56">
        <f t="shared" si="11"/>
        <v>9.1000000000000014</v>
      </c>
      <c r="B56">
        <f t="shared" si="0"/>
        <v>0.15882496193148402</v>
      </c>
      <c r="C56">
        <f t="shared" si="1"/>
        <v>0.98741380675091139</v>
      </c>
      <c r="D56">
        <f t="shared" si="12"/>
        <v>0.15815806725448356</v>
      </c>
      <c r="E56">
        <f t="shared" si="13"/>
        <v>0.21814324139654256</v>
      </c>
      <c r="F56">
        <f t="shared" si="4"/>
        <v>139175.62120149549</v>
      </c>
    </row>
    <row r="57" spans="1:12" x14ac:dyDescent="0.2">
      <c r="A57">
        <f t="shared" si="11"/>
        <v>9.3000000000000007</v>
      </c>
      <c r="B57">
        <f t="shared" si="0"/>
        <v>0.16231562043547265</v>
      </c>
      <c r="C57">
        <f t="shared" si="1"/>
        <v>0.98685571640680725</v>
      </c>
      <c r="D57">
        <f t="shared" si="12"/>
        <v>0.16160382110336113</v>
      </c>
      <c r="E57">
        <f t="shared" si="13"/>
        <v>0.22154849761946727</v>
      </c>
      <c r="F57">
        <f t="shared" si="4"/>
        <v>167438.42799052302</v>
      </c>
    </row>
    <row r="58" spans="1:12" x14ac:dyDescent="0.2">
      <c r="A58">
        <f t="shared" si="11"/>
        <v>9.5</v>
      </c>
      <c r="B58">
        <f t="shared" si="0"/>
        <v>0.16580627893946129</v>
      </c>
      <c r="C58">
        <f t="shared" si="1"/>
        <v>0.98628560153723144</v>
      </c>
      <c r="D58">
        <f t="shared" si="12"/>
        <v>0.16504760586067763</v>
      </c>
      <c r="E58">
        <f t="shared" si="13"/>
        <v>0.22495105434386498</v>
      </c>
      <c r="F58">
        <f t="shared" si="4"/>
        <v>201411.12554145398</v>
      </c>
    </row>
    <row r="59" spans="1:12" x14ac:dyDescent="0.2">
      <c r="A59">
        <f t="shared" si="11"/>
        <v>9.6999999999999993</v>
      </c>
      <c r="B59">
        <f t="shared" si="0"/>
        <v>0.16929693744344995</v>
      </c>
      <c r="C59">
        <f t="shared" si="1"/>
        <v>0.98570346908885353</v>
      </c>
      <c r="D59">
        <f t="shared" si="12"/>
        <v>0.16848937956500257</v>
      </c>
      <c r="E59">
        <f t="shared" si="13"/>
        <v>0.22835087011065569</v>
      </c>
      <c r="F59">
        <f t="shared" si="4"/>
        <v>242240.71870226847</v>
      </c>
    </row>
    <row r="60" spans="1:12" x14ac:dyDescent="0.2">
      <c r="A60">
        <f t="shared" si="11"/>
        <v>9.8999999999999986</v>
      </c>
      <c r="B60">
        <f t="shared" si="0"/>
        <v>0.17278759594743859</v>
      </c>
      <c r="C60">
        <f t="shared" si="1"/>
        <v>0.98510932615477398</v>
      </c>
      <c r="D60">
        <f t="shared" si="12"/>
        <v>0.1719291002794095</v>
      </c>
      <c r="E60">
        <f t="shared" si="13"/>
        <v>0.23174790349415728</v>
      </c>
      <c r="F60">
        <f t="shared" si="4"/>
        <v>291303.18353088765</v>
      </c>
    </row>
    <row r="61" spans="1:12" x14ac:dyDescent="0.2">
      <c r="A61">
        <f t="shared" si="11"/>
        <v>10.099999999999998</v>
      </c>
      <c r="B61">
        <f t="shared" si="0"/>
        <v>0.17627825445142725</v>
      </c>
      <c r="C61">
        <f t="shared" si="1"/>
        <v>0.98450317997443659</v>
      </c>
      <c r="D61">
        <f t="shared" si="12"/>
        <v>0.17536672609198709</v>
      </c>
      <c r="E61">
        <f t="shared" si="13"/>
        <v>0.23514211310258998</v>
      </c>
      <c r="F61">
        <f t="shared" si="4"/>
        <v>350248.86298241501</v>
      </c>
    </row>
    <row r="62" spans="1:12" x14ac:dyDescent="0.2">
      <c r="A62">
        <f t="shared" si="11"/>
        <v>10.299999999999997</v>
      </c>
      <c r="B62">
        <f t="shared" si="0"/>
        <v>0.17976891295541589</v>
      </c>
      <c r="C62">
        <f t="shared" si="1"/>
        <v>0.98388503793354165</v>
      </c>
      <c r="D62">
        <f t="shared" si="12"/>
        <v>0.17880221511634956</v>
      </c>
      <c r="E62">
        <f t="shared" si="13"/>
        <v>0.23853345757858083</v>
      </c>
      <c r="F62">
        <f t="shared" si="4"/>
        <v>421056.79546020878</v>
      </c>
    </row>
    <row r="63" spans="1:12" x14ac:dyDescent="0.2">
      <c r="A63">
        <f t="shared" si="11"/>
        <v>10.499999999999996</v>
      </c>
      <c r="B63">
        <f t="shared" si="0"/>
        <v>0.18325957145940452</v>
      </c>
      <c r="C63">
        <f t="shared" si="1"/>
        <v>0.98325490756395462</v>
      </c>
      <c r="D63">
        <f t="shared" si="12"/>
        <v>0.18223552549214739</v>
      </c>
      <c r="E63">
        <f t="shared" si="13"/>
        <v>0.24192189559966765</v>
      </c>
      <c r="F63">
        <f t="shared" si="4"/>
        <v>506099.71970384457</v>
      </c>
    </row>
    <row r="64" spans="1:12" x14ac:dyDescent="0.2">
      <c r="A64">
        <f t="shared" si="11"/>
        <v>10.699999999999996</v>
      </c>
      <c r="B64">
        <f t="shared" si="0"/>
        <v>0.18675022996339316</v>
      </c>
      <c r="C64">
        <f t="shared" si="1"/>
        <v>0.98261279654361522</v>
      </c>
      <c r="D64">
        <f t="shared" si="12"/>
        <v>0.18566661538557711</v>
      </c>
      <c r="E64">
        <f t="shared" si="13"/>
        <v>0.24530738587880246</v>
      </c>
      <c r="F64">
        <f t="shared" si="4"/>
        <v>608221.83675310016</v>
      </c>
    </row>
    <row r="65" spans="1:6" x14ac:dyDescent="0.2">
      <c r="A65">
        <f t="shared" si="11"/>
        <v>10.899999999999995</v>
      </c>
      <c r="B65">
        <f t="shared" si="0"/>
        <v>0.19024088846738185</v>
      </c>
      <c r="C65">
        <f t="shared" si="1"/>
        <v>0.98195871269644364</v>
      </c>
      <c r="D65">
        <f t="shared" si="12"/>
        <v>0.18909544298989123</v>
      </c>
      <c r="E65">
        <f t="shared" si="13"/>
        <v>0.24868988716485471</v>
      </c>
      <c r="F65">
        <f t="shared" si="4"/>
        <v>730831.81160654651</v>
      </c>
    </row>
    <row r="66" spans="1:6" x14ac:dyDescent="0.2">
      <c r="A66">
        <f t="shared" si="11"/>
        <v>11.099999999999994</v>
      </c>
      <c r="B66">
        <f t="shared" si="0"/>
        <v>0.19373154697137049</v>
      </c>
      <c r="C66">
        <f t="shared" si="1"/>
        <v>0.98129266399224524</v>
      </c>
      <c r="D66">
        <f t="shared" si="12"/>
        <v>0.19252196652590733</v>
      </c>
      <c r="E66">
        <f t="shared" si="13"/>
        <v>0.25206935824311355</v>
      </c>
      <c r="F66">
        <f t="shared" si="4"/>
        <v>878013.97593480011</v>
      </c>
    </row>
    <row r="67" spans="1:6" x14ac:dyDescent="0.2">
      <c r="A67">
        <f t="shared" si="11"/>
        <v>11.299999999999994</v>
      </c>
      <c r="B67">
        <f t="shared" si="0"/>
        <v>0.19722220547535912</v>
      </c>
      <c r="C67">
        <f t="shared" si="1"/>
        <v>0.98061465854661301</v>
      </c>
      <c r="D67">
        <f t="shared" si="12"/>
        <v>0.19594614424251758</v>
      </c>
      <c r="E67">
        <f t="shared" si="13"/>
        <v>0.25544575793579044</v>
      </c>
      <c r="F67">
        <f t="shared" si="4"/>
        <v>1054661.2633564775</v>
      </c>
    </row>
    <row r="68" spans="1:6" x14ac:dyDescent="0.2">
      <c r="A68">
        <f t="shared" si="11"/>
        <v>11.499999999999993</v>
      </c>
      <c r="B68">
        <f t="shared" si="0"/>
        <v>0.20071286397934776</v>
      </c>
      <c r="C68">
        <f t="shared" si="1"/>
        <v>0.97992470462082959</v>
      </c>
      <c r="D68">
        <f t="shared" si="12"/>
        <v>0.19936793441719705</v>
      </c>
      <c r="E68">
        <f t="shared" si="13"/>
        <v>0.25881904510252063</v>
      </c>
      <c r="F68">
        <f t="shared" si="4"/>
        <v>1266634.0876037725</v>
      </c>
    </row>
    <row r="69" spans="1:6" x14ac:dyDescent="0.2">
      <c r="A69">
        <f t="shared" si="11"/>
        <v>11.699999999999992</v>
      </c>
      <c r="B69">
        <f t="shared" si="0"/>
        <v>0.2042035224833364</v>
      </c>
      <c r="C69">
        <f t="shared" si="1"/>
        <v>0.97922281062176586</v>
      </c>
      <c r="D69">
        <f t="shared" si="12"/>
        <v>0.20278729535651233</v>
      </c>
      <c r="E69">
        <f t="shared" si="13"/>
        <v>0.26218917864086455</v>
      </c>
      <c r="F69">
        <f t="shared" si="4"/>
        <v>1520950.181881807</v>
      </c>
    </row>
    <row r="70" spans="1:6" x14ac:dyDescent="0.2">
      <c r="A70">
        <f t="shared" si="11"/>
        <v>11.899999999999991</v>
      </c>
      <c r="B70">
        <f t="shared" si="0"/>
        <v>0.20769418098732503</v>
      </c>
      <c r="C70">
        <f t="shared" si="1"/>
        <v>0.97850898510177842</v>
      </c>
      <c r="D70">
        <f t="shared" si="12"/>
        <v>0.20620418539662946</v>
      </c>
      <c r="E70">
        <f t="shared" si="13"/>
        <v>0.26555611748680863</v>
      </c>
      <c r="F70">
        <f t="shared" si="4"/>
        <v>1826011.3791657882</v>
      </c>
    </row>
    <row r="71" spans="1:6" x14ac:dyDescent="0.2">
      <c r="A71">
        <f t="shared" si="11"/>
        <v>12.099999999999991</v>
      </c>
      <c r="B71">
        <f t="shared" si="0"/>
        <v>0.21118483949131373</v>
      </c>
      <c r="C71">
        <f t="shared" si="1"/>
        <v>0.97778323675860623</v>
      </c>
      <c r="D71">
        <f t="shared" si="12"/>
        <v>0.20961856290382166</v>
      </c>
      <c r="E71">
        <f t="shared" si="13"/>
        <v>0.26891982061526554</v>
      </c>
      <c r="F71">
        <f t="shared" si="4"/>
        <v>2191874.4569043745</v>
      </c>
    </row>
    <row r="72" spans="1:6" x14ac:dyDescent="0.2">
      <c r="A72">
        <f t="shared" si="11"/>
        <v>12.29999999999999</v>
      </c>
      <c r="B72">
        <f t="shared" si="0"/>
        <v>0.21467549799530236</v>
      </c>
      <c r="C72">
        <f t="shared" si="1"/>
        <v>0.97704557443526363</v>
      </c>
      <c r="D72">
        <f t="shared" si="12"/>
        <v>0.21303038627497639</v>
      </c>
      <c r="E72">
        <f t="shared" si="13"/>
        <v>0.27228024704057413</v>
      </c>
      <c r="F72">
        <f t="shared" si="4"/>
        <v>2630574.5297773872</v>
      </c>
    </row>
    <row r="73" spans="1:6" x14ac:dyDescent="0.2">
      <c r="A73">
        <f t="shared" si="11"/>
        <v>12.499999999999989</v>
      </c>
      <c r="B73">
        <f t="shared" si="0"/>
        <v>0.218166156499291</v>
      </c>
      <c r="C73">
        <f t="shared" si="1"/>
        <v>0.97629600711993336</v>
      </c>
      <c r="D73">
        <f t="shared" si="12"/>
        <v>0.21643961393810268</v>
      </c>
      <c r="E73">
        <f t="shared" si="13"/>
        <v>0.275637355816999</v>
      </c>
      <c r="F73">
        <f t="shared" si="4"/>
        <v>3156511.0912872702</v>
      </c>
    </row>
    <row r="74" spans="1:6" x14ac:dyDescent="0.2">
      <c r="A74">
        <f t="shared" si="11"/>
        <v>12.699999999999989</v>
      </c>
      <c r="B74">
        <f t="shared" si="0"/>
        <v>0.22165681500327963</v>
      </c>
      <c r="C74">
        <f t="shared" si="1"/>
        <v>0.97553454394585659</v>
      </c>
      <c r="D74">
        <f t="shared" si="12"/>
        <v>0.2198462043528373</v>
      </c>
      <c r="E74">
        <f t="shared" si="13"/>
        <v>0.278991106039229</v>
      </c>
      <c r="F74">
        <f t="shared" si="4"/>
        <v>3786908.7270253738</v>
      </c>
    </row>
    <row r="75" spans="1:6" x14ac:dyDescent="0.2">
      <c r="A75">
        <f t="shared" si="11"/>
        <v>12.899999999999988</v>
      </c>
      <c r="B75">
        <f t="shared" ref="B75:B138" si="14">A75*PI()/180</f>
        <v>0.22514747350726827</v>
      </c>
      <c r="C75">
        <f t="shared" ref="C75:C138" si="15">COS(B75)</f>
        <v>0.97476119419122187</v>
      </c>
      <c r="D75">
        <f t="shared" si="12"/>
        <v>0.22325011601095113</v>
      </c>
      <c r="E75">
        <f t="shared" si="13"/>
        <v>0.2823414568428762</v>
      </c>
      <c r="F75">
        <f t="shared" ref="F75:F138" si="16">EXP(E75*$C$5*$C$6^2/($C$3*$C$2))</f>
        <v>4542366.8062719246</v>
      </c>
    </row>
    <row r="76" spans="1:6" x14ac:dyDescent="0.2">
      <c r="A76">
        <f t="shared" si="11"/>
        <v>13.099999999999987</v>
      </c>
      <c r="B76">
        <f t="shared" si="14"/>
        <v>0.22863813201125696</v>
      </c>
      <c r="C76">
        <f t="shared" si="15"/>
        <v>0.97397596727905167</v>
      </c>
      <c r="D76">
        <f t="shared" si="12"/>
        <v>0.22665130743685485</v>
      </c>
      <c r="E76">
        <f t="shared" si="13"/>
        <v>0.28568836740497339</v>
      </c>
      <c r="F76">
        <f t="shared" si="16"/>
        <v>5447515.171440348</v>
      </c>
    </row>
    <row r="77" spans="1:6" x14ac:dyDescent="0.2">
      <c r="A77">
        <f t="shared" ref="A77:A79" si="17">A76+0.2</f>
        <v>13.299999999999986</v>
      </c>
      <c r="B77">
        <f t="shared" si="14"/>
        <v>0.2321287905152456</v>
      </c>
      <c r="C77">
        <f t="shared" si="15"/>
        <v>0.97317887277708826</v>
      </c>
      <c r="D77">
        <f t="shared" si="12"/>
        <v>0.23004973718810418</v>
      </c>
      <c r="E77">
        <f t="shared" si="13"/>
        <v>0.28903179694447134</v>
      </c>
      <c r="F77">
        <f t="shared" si="16"/>
        <v>6531796.0663946038</v>
      </c>
    </row>
    <row r="78" spans="1:6" x14ac:dyDescent="0.2">
      <c r="A78">
        <f t="shared" si="17"/>
        <v>13.499999999999986</v>
      </c>
      <c r="B78">
        <f t="shared" si="14"/>
        <v>0.23561944901923423</v>
      </c>
      <c r="C78">
        <f t="shared" si="15"/>
        <v>0.97236992039767667</v>
      </c>
      <c r="D78">
        <f t="shared" si="12"/>
        <v>0.23344536385590517</v>
      </c>
      <c r="E78">
        <f t="shared" si="13"/>
        <v>0.29237170472273649</v>
      </c>
      <c r="F78">
        <f t="shared" si="16"/>
        <v>7830396.369069444</v>
      </c>
    </row>
    <row r="79" spans="1:6" x14ac:dyDescent="0.2">
      <c r="A79">
        <f t="shared" si="17"/>
        <v>13.699999999999985</v>
      </c>
      <c r="B79">
        <f t="shared" si="14"/>
        <v>0.23911010752322287</v>
      </c>
      <c r="C79">
        <f t="shared" si="15"/>
        <v>0.97154911999764626</v>
      </c>
      <c r="D79">
        <f t="shared" si="12"/>
        <v>0.23683814606561843</v>
      </c>
      <c r="E79">
        <f t="shared" si="13"/>
        <v>0.29570805004404643</v>
      </c>
      <c r="F79">
        <f t="shared" si="16"/>
        <v>9385358.7325421926</v>
      </c>
    </row>
    <row r="80" spans="1:6" x14ac:dyDescent="0.2">
      <c r="A80">
        <f>A79+0.2</f>
        <v>13.899999999999984</v>
      </c>
      <c r="B80">
        <f t="shared" si="14"/>
        <v>0.24260076602721151</v>
      </c>
      <c r="C80">
        <f t="shared" si="15"/>
        <v>0.97071648157819079</v>
      </c>
      <c r="D80">
        <f t="shared" si="12"/>
        <v>0.24022804247726343</v>
      </c>
      <c r="E80">
        <f t="shared" si="13"/>
        <v>0.29904079225608637</v>
      </c>
      <c r="F80">
        <f t="shared" si="16"/>
        <v>11246905.623509625</v>
      </c>
    </row>
    <row r="81" spans="1:6" x14ac:dyDescent="0.2">
      <c r="A81">
        <f t="shared" ref="A81:A104" si="18">A80+0.2</f>
        <v>14.099999999999984</v>
      </c>
      <c r="B81">
        <f t="shared" si="14"/>
        <v>0.2460914245312002</v>
      </c>
      <c r="C81">
        <f t="shared" si="15"/>
        <v>0.96987201528474687</v>
      </c>
      <c r="D81">
        <f t="shared" si="12"/>
        <v>0.24361501178602224</v>
      </c>
      <c r="E81">
        <f t="shared" si="13"/>
        <v>0.30236989075044424</v>
      </c>
      <c r="F81">
        <f t="shared" si="16"/>
        <v>13475016.633738065</v>
      </c>
    </row>
    <row r="82" spans="1:6" x14ac:dyDescent="0.2">
      <c r="A82">
        <f t="shared" si="18"/>
        <v>14.299999999999983</v>
      </c>
      <c r="B82">
        <f t="shared" si="14"/>
        <v>0.24958208303518883</v>
      </c>
      <c r="C82">
        <f t="shared" si="15"/>
        <v>0.96901573140686958</v>
      </c>
      <c r="D82">
        <f t="shared" si="12"/>
        <v>0.24699901272274263</v>
      </c>
      <c r="E82">
        <f t="shared" si="13"/>
        <v>0.30569530496310537</v>
      </c>
      <c r="F82">
        <f t="shared" si="16"/>
        <v>16141307.012497457</v>
      </c>
    </row>
    <row r="83" spans="1:6" x14ac:dyDescent="0.2">
      <c r="A83">
        <f t="shared" si="18"/>
        <v>14.499999999999982</v>
      </c>
      <c r="B83">
        <f t="shared" si="14"/>
        <v>0.25307274153917747</v>
      </c>
      <c r="C83">
        <f t="shared" si="15"/>
        <v>0.96814764037810785</v>
      </c>
      <c r="D83">
        <f t="shared" si="12"/>
        <v>0.25038000405444111</v>
      </c>
      <c r="E83">
        <f t="shared" si="13"/>
        <v>0.30901699437494712</v>
      </c>
      <c r="F83">
        <f t="shared" si="16"/>
        <v>19331264.343590248</v>
      </c>
    </row>
    <row r="84" spans="1:6" x14ac:dyDescent="0.2">
      <c r="A84">
        <f t="shared" si="18"/>
        <v>14.699999999999982</v>
      </c>
      <c r="B84">
        <f t="shared" si="14"/>
        <v>0.25656340004316613</v>
      </c>
      <c r="C84">
        <f t="shared" si="15"/>
        <v>0.96726775277587684</v>
      </c>
      <c r="D84">
        <f t="shared" si="12"/>
        <v>0.25375794458480533</v>
      </c>
      <c r="E84">
        <f t="shared" si="13"/>
        <v>0.31233491851223222</v>
      </c>
      <c r="F84">
        <f t="shared" si="16"/>
        <v>23146910.925954524</v>
      </c>
    </row>
    <row r="85" spans="1:6" x14ac:dyDescent="0.2">
      <c r="A85">
        <f t="shared" si="18"/>
        <v>14.899999999999981</v>
      </c>
      <c r="B85">
        <f t="shared" si="14"/>
        <v>0.26005405854715474</v>
      </c>
      <c r="C85">
        <f t="shared" si="15"/>
        <v>0.96637607932132941</v>
      </c>
      <c r="D85">
        <f t="shared" ref="D85:D148" si="19">SIN(B85)</f>
        <v>0.25713279315469584</v>
      </c>
      <c r="E85">
        <f t="shared" ref="E85:E148" si="20">C85*$E$7+D85*$F$7</f>
        <v>0.31564903694710211</v>
      </c>
      <c r="F85">
        <f t="shared" si="16"/>
        <v>27709972.014828581</v>
      </c>
    </row>
    <row r="86" spans="1:6" x14ac:dyDescent="0.2">
      <c r="A86">
        <f t="shared" si="18"/>
        <v>15.09999999999998</v>
      </c>
      <c r="B86">
        <f t="shared" si="14"/>
        <v>0.26354471705114341</v>
      </c>
      <c r="C86">
        <f t="shared" si="15"/>
        <v>0.96547263087922519</v>
      </c>
      <c r="D86">
        <f t="shared" si="19"/>
        <v>0.26050450864264801</v>
      </c>
      <c r="E86">
        <f t="shared" si="20"/>
        <v>0.31895930929806965</v>
      </c>
      <c r="F86">
        <f t="shared" si="16"/>
        <v>33165644.998455707</v>
      </c>
    </row>
    <row r="87" spans="1:6" x14ac:dyDescent="0.2">
      <c r="A87">
        <f t="shared" si="18"/>
        <v>15.299999999999979</v>
      </c>
      <c r="B87">
        <f t="shared" si="14"/>
        <v>0.26703537555513207</v>
      </c>
      <c r="C87">
        <f t="shared" si="15"/>
        <v>0.96455741845779819</v>
      </c>
      <c r="D87">
        <f t="shared" si="19"/>
        <v>0.26387304996537253</v>
      </c>
      <c r="E87">
        <f t="shared" si="20"/>
        <v>0.32226569523051068</v>
      </c>
      <c r="F87">
        <f t="shared" si="16"/>
        <v>39687082.244736239</v>
      </c>
    </row>
    <row r="88" spans="1:6" x14ac:dyDescent="0.2">
      <c r="A88">
        <f t="shared" si="18"/>
        <v>15.499999999999979</v>
      </c>
      <c r="B88">
        <f t="shared" si="14"/>
        <v>0.27052603405912073</v>
      </c>
      <c r="C88">
        <f t="shared" si="15"/>
        <v>0.96363045320862306</v>
      </c>
      <c r="D88">
        <f t="shared" si="19"/>
        <v>0.26723837607825651</v>
      </c>
      <c r="E88">
        <f t="shared" si="20"/>
        <v>0.32556815445715626</v>
      </c>
      <c r="F88">
        <f t="shared" si="16"/>
        <v>47480721.249996498</v>
      </c>
    </row>
    <row r="89" spans="1:6" x14ac:dyDescent="0.2">
      <c r="A89">
        <f t="shared" si="18"/>
        <v>15.699999999999978</v>
      </c>
      <c r="B89">
        <f t="shared" si="14"/>
        <v>0.27401669256310934</v>
      </c>
      <c r="C89">
        <f t="shared" si="15"/>
        <v>0.96269174642647892</v>
      </c>
      <c r="D89">
        <f t="shared" si="19"/>
        <v>0.27060044597586325</v>
      </c>
      <c r="E89">
        <f t="shared" si="20"/>
        <v>0.32886664673858285</v>
      </c>
      <c r="F89">
        <f t="shared" si="16"/>
        <v>56792620.443747781</v>
      </c>
    </row>
    <row r="90" spans="1:6" x14ac:dyDescent="0.2">
      <c r="A90">
        <f t="shared" si="18"/>
        <v>15.899999999999977</v>
      </c>
      <c r="B90">
        <f t="shared" si="14"/>
        <v>0.27750735106709801</v>
      </c>
      <c r="C90">
        <f t="shared" si="15"/>
        <v>0.96174130954921144</v>
      </c>
      <c r="D90">
        <f t="shared" si="19"/>
        <v>0.27395921869243206</v>
      </c>
      <c r="E90">
        <f t="shared" si="20"/>
        <v>0.33216113188370289</v>
      </c>
      <c r="F90">
        <f t="shared" si="16"/>
        <v>67915988.238873035</v>
      </c>
    </row>
    <row r="91" spans="1:6" x14ac:dyDescent="0.2">
      <c r="A91">
        <f t="shared" si="18"/>
        <v>16.099999999999977</v>
      </c>
      <c r="B91">
        <f t="shared" si="14"/>
        <v>0.28099800957108662</v>
      </c>
      <c r="C91">
        <f t="shared" si="15"/>
        <v>0.9607791541575943</v>
      </c>
      <c r="D91">
        <f t="shared" si="19"/>
        <v>0.27731465330237737</v>
      </c>
      <c r="E91">
        <f t="shared" si="20"/>
        <v>0.33545156975025459</v>
      </c>
      <c r="F91">
        <f t="shared" si="16"/>
        <v>81200127.478581399</v>
      </c>
    </row>
    <row r="92" spans="1:6" x14ac:dyDescent="0.2">
      <c r="A92">
        <f t="shared" si="18"/>
        <v>16.299999999999976</v>
      </c>
      <c r="B92">
        <f t="shared" si="14"/>
        <v>0.28448866807507528</v>
      </c>
      <c r="C92">
        <f t="shared" si="15"/>
        <v>0.95980529197518705</v>
      </c>
      <c r="D92">
        <f t="shared" si="19"/>
        <v>0.28066670892078738</v>
      </c>
      <c r="E92">
        <f t="shared" si="20"/>
        <v>0.33873792024529098</v>
      </c>
      <c r="F92">
        <f t="shared" si="16"/>
        <v>97061058.276196465</v>
      </c>
    </row>
    <row r="93" spans="1:6" x14ac:dyDescent="0.2">
      <c r="A93">
        <f t="shared" si="18"/>
        <v>16.499999999999975</v>
      </c>
      <c r="B93">
        <f t="shared" si="14"/>
        <v>0.28797932657906394</v>
      </c>
      <c r="C93">
        <f t="shared" si="15"/>
        <v>0.95881973486819316</v>
      </c>
      <c r="D93">
        <f t="shared" si="19"/>
        <v>0.2840153447039222</v>
      </c>
      <c r="E93">
        <f t="shared" si="20"/>
        <v>0.34202014332566832</v>
      </c>
      <c r="F93">
        <f t="shared" si="16"/>
        <v>115994130.49689005</v>
      </c>
    </row>
    <row r="94" spans="1:6" x14ac:dyDescent="0.2">
      <c r="A94">
        <f t="shared" si="18"/>
        <v>16.699999999999974</v>
      </c>
      <c r="B94">
        <f t="shared" si="14"/>
        <v>0.29146998508305261</v>
      </c>
      <c r="C94">
        <f t="shared" si="15"/>
        <v>0.95782249484531501</v>
      </c>
      <c r="D94">
        <f t="shared" si="19"/>
        <v>0.28736051984971156</v>
      </c>
      <c r="E94">
        <f t="shared" si="20"/>
        <v>0.3452981989985342</v>
      </c>
      <c r="F94">
        <f t="shared" si="16"/>
        <v>138588994.11590049</v>
      </c>
    </row>
    <row r="95" spans="1:6" x14ac:dyDescent="0.2">
      <c r="A95">
        <f t="shared" si="18"/>
        <v>16.899999999999974</v>
      </c>
      <c r="B95">
        <f t="shared" si="14"/>
        <v>0.29496064358704122</v>
      </c>
      <c r="C95">
        <f t="shared" si="15"/>
        <v>0.95681358405760752</v>
      </c>
      <c r="D95">
        <f t="shared" si="19"/>
        <v>0.290702193598252</v>
      </c>
      <c r="E95">
        <f t="shared" si="20"/>
        <v>0.34857204732181474</v>
      </c>
      <c r="F95">
        <f t="shared" si="16"/>
        <v>165547362.96226171</v>
      </c>
    </row>
    <row r="96" spans="1:6" x14ac:dyDescent="0.2">
      <c r="A96">
        <f t="shared" si="18"/>
        <v>17.099999999999973</v>
      </c>
      <c r="B96">
        <f t="shared" si="14"/>
        <v>0.29845130209102988</v>
      </c>
      <c r="C96">
        <f t="shared" si="15"/>
        <v>0.95579301479833023</v>
      </c>
      <c r="D96">
        <f t="shared" si="19"/>
        <v>0.2940403252323035</v>
      </c>
      <c r="E96">
        <f t="shared" si="20"/>
        <v>0.35184164840470133</v>
      </c>
      <c r="F96">
        <f t="shared" si="16"/>
        <v>197704086.75059089</v>
      </c>
    </row>
    <row r="97" spans="1:6" x14ac:dyDescent="0.2">
      <c r="A97">
        <f t="shared" si="18"/>
        <v>17.299999999999972</v>
      </c>
      <c r="B97">
        <f t="shared" si="14"/>
        <v>0.30194196059501849</v>
      </c>
      <c r="C97">
        <f t="shared" si="15"/>
        <v>0.95476079950279757</v>
      </c>
      <c r="D97">
        <f t="shared" si="19"/>
        <v>0.29737487407778546</v>
      </c>
      <c r="E97">
        <f t="shared" si="20"/>
        <v>0.35510696240813655</v>
      </c>
      <c r="F97">
        <f t="shared" si="16"/>
        <v>236052139.96582791</v>
      </c>
    </row>
    <row r="98" spans="1:6" x14ac:dyDescent="0.2">
      <c r="A98">
        <f t="shared" si="18"/>
        <v>17.499999999999972</v>
      </c>
      <c r="B98">
        <f t="shared" si="14"/>
        <v>0.30543261909900721</v>
      </c>
      <c r="C98">
        <f t="shared" si="15"/>
        <v>0.95371695074822704</v>
      </c>
      <c r="D98">
        <f t="shared" si="19"/>
        <v>0.30070579950427268</v>
      </c>
      <c r="E98">
        <f t="shared" si="20"/>
        <v>0.35836794954529982</v>
      </c>
      <c r="F98">
        <f t="shared" si="16"/>
        <v>281772246.62211752</v>
      </c>
    </row>
    <row r="99" spans="1:6" x14ac:dyDescent="0.2">
      <c r="A99">
        <f t="shared" si="18"/>
        <v>17.699999999999971</v>
      </c>
      <c r="B99">
        <f t="shared" si="14"/>
        <v>0.30892327760299582</v>
      </c>
      <c r="C99">
        <f t="shared" si="15"/>
        <v>0.95266148125358641</v>
      </c>
      <c r="D99">
        <f t="shared" si="19"/>
        <v>0.30403306092548982</v>
      </c>
      <c r="E99">
        <f t="shared" si="20"/>
        <v>0.36162457008209181</v>
      </c>
      <c r="F99">
        <f t="shared" si="16"/>
        <v>336267990.13135046</v>
      </c>
    </row>
    <row r="100" spans="1:6" x14ac:dyDescent="0.2">
      <c r="A100">
        <f t="shared" si="18"/>
        <v>17.89999999999997</v>
      </c>
      <c r="B100">
        <f t="shared" si="14"/>
        <v>0.31241393610698448</v>
      </c>
      <c r="C100">
        <f t="shared" si="15"/>
        <v>0.95159440387943839</v>
      </c>
      <c r="D100">
        <f t="shared" si="19"/>
        <v>0.30735661779980655</v>
      </c>
      <c r="E100">
        <f t="shared" si="20"/>
        <v>0.36487678433761916</v>
      </c>
      <c r="F100">
        <f t="shared" si="16"/>
        <v>401207410.96809125</v>
      </c>
    </row>
    <row r="101" spans="1:6" x14ac:dyDescent="0.2">
      <c r="A101">
        <f t="shared" si="18"/>
        <v>18.099999999999969</v>
      </c>
      <c r="B101">
        <f t="shared" si="14"/>
        <v>0.31590459461097309</v>
      </c>
      <c r="C101">
        <f t="shared" si="15"/>
        <v>0.95051573162778391</v>
      </c>
      <c r="D101">
        <f t="shared" si="19"/>
        <v>0.31067642963073122</v>
      </c>
      <c r="E101">
        <f t="shared" si="20"/>
        <v>0.36812455268467736</v>
      </c>
      <c r="F101">
        <f t="shared" si="16"/>
        <v>478572275.58589131</v>
      </c>
    </row>
    <row r="102" spans="1:6" x14ac:dyDescent="0.2">
      <c r="A102">
        <f t="shared" si="18"/>
        <v>18.299999999999969</v>
      </c>
      <c r="B102">
        <f t="shared" si="14"/>
        <v>0.31939525311496175</v>
      </c>
      <c r="C102">
        <f t="shared" si="15"/>
        <v>0.94942547764190399</v>
      </c>
      <c r="D102">
        <f t="shared" si="19"/>
        <v>0.31399245596740444</v>
      </c>
      <c r="E102">
        <f t="shared" si="20"/>
        <v>0.37136783555023428</v>
      </c>
      <c r="F102">
        <f t="shared" si="16"/>
        <v>570716412.9101094</v>
      </c>
    </row>
    <row r="103" spans="1:6" x14ac:dyDescent="0.2">
      <c r="A103">
        <f t="shared" si="18"/>
        <v>18.499999999999968</v>
      </c>
      <c r="B103">
        <f t="shared" si="14"/>
        <v>0.32288591161895042</v>
      </c>
      <c r="C103">
        <f t="shared" si="15"/>
        <v>0.94832365520619955</v>
      </c>
      <c r="D103">
        <f t="shared" si="19"/>
        <v>0.31730465640509159</v>
      </c>
      <c r="E103">
        <f t="shared" si="20"/>
        <v>0.37460659341591152</v>
      </c>
      <c r="F103">
        <f t="shared" si="16"/>
        <v>680434765.31188905</v>
      </c>
    </row>
    <row r="104" spans="1:6" x14ac:dyDescent="0.2">
      <c r="A104">
        <f t="shared" si="18"/>
        <v>18.699999999999967</v>
      </c>
      <c r="B104">
        <f t="shared" si="14"/>
        <v>0.32637657012293908</v>
      </c>
      <c r="C104">
        <f t="shared" si="15"/>
        <v>0.94721027774602895</v>
      </c>
      <c r="D104">
        <f t="shared" si="19"/>
        <v>0.32061299058567577</v>
      </c>
      <c r="E104">
        <f t="shared" si="20"/>
        <v>0.37784078681846661</v>
      </c>
      <c r="F104">
        <f t="shared" si="16"/>
        <v>811045095.82678199</v>
      </c>
    </row>
    <row r="105" spans="1:6" x14ac:dyDescent="0.2">
      <c r="A105">
        <f>A104+0.2</f>
        <v>18.899999999999967</v>
      </c>
      <c r="B105">
        <f t="shared" si="14"/>
        <v>0.32986722862692769</v>
      </c>
      <c r="C105">
        <f t="shared" si="15"/>
        <v>0.94608535882754552</v>
      </c>
      <c r="D105">
        <f t="shared" si="19"/>
        <v>0.32391741819814884</v>
      </c>
      <c r="E105">
        <f t="shared" si="20"/>
        <v>0.38107037635027352</v>
      </c>
      <c r="F105">
        <f t="shared" si="16"/>
        <v>966484640.2132988</v>
      </c>
    </row>
    <row r="106" spans="1:6" x14ac:dyDescent="0.2">
      <c r="A106">
        <f t="shared" ref="A106:A169" si="21">A105+0.2</f>
        <v>19.099999999999966</v>
      </c>
      <c r="B106">
        <f t="shared" si="14"/>
        <v>0.33335788713091635</v>
      </c>
      <c r="C106">
        <f t="shared" si="15"/>
        <v>0.94494891215753107</v>
      </c>
      <c r="D106">
        <f t="shared" si="19"/>
        <v>0.32721789897910336</v>
      </c>
      <c r="E106">
        <f t="shared" si="20"/>
        <v>0.38429532265980315</v>
      </c>
      <c r="F106">
        <f t="shared" si="16"/>
        <v>1151424400.257658</v>
      </c>
    </row>
    <row r="107" spans="1:6" x14ac:dyDescent="0.2">
      <c r="A107">
        <f t="shared" si="21"/>
        <v>19.299999999999965</v>
      </c>
      <c r="B107">
        <f t="shared" si="14"/>
        <v>0.33684854563490496</v>
      </c>
      <c r="C107">
        <f t="shared" si="15"/>
        <v>0.94380095158322963</v>
      </c>
      <c r="D107">
        <f t="shared" si="19"/>
        <v>0.33051439271322242</v>
      </c>
      <c r="E107">
        <f t="shared" si="20"/>
        <v>0.38751558645210232</v>
      </c>
      <c r="F107">
        <f t="shared" si="16"/>
        <v>1371404254.0585463</v>
      </c>
    </row>
    <row r="108" spans="1:6" x14ac:dyDescent="0.2">
      <c r="A108">
        <f t="shared" si="21"/>
        <v>19.499999999999964</v>
      </c>
      <c r="B108">
        <f t="shared" si="14"/>
        <v>0.34033920413889363</v>
      </c>
      <c r="C108">
        <f t="shared" si="15"/>
        <v>0.94264149109217865</v>
      </c>
      <c r="D108">
        <f t="shared" si="19"/>
        <v>0.33380685923377035</v>
      </c>
      <c r="E108">
        <f t="shared" si="20"/>
        <v>0.39073112848927316</v>
      </c>
      <c r="F108">
        <f t="shared" si="16"/>
        <v>1632992622.1952929</v>
      </c>
    </row>
    <row r="109" spans="1:6" x14ac:dyDescent="0.2">
      <c r="A109">
        <f t="shared" si="21"/>
        <v>19.699999999999964</v>
      </c>
      <c r="B109">
        <f t="shared" si="14"/>
        <v>0.34382986264288229</v>
      </c>
      <c r="C109">
        <f t="shared" si="15"/>
        <v>0.94147054481203818</v>
      </c>
      <c r="D109">
        <f t="shared" si="19"/>
        <v>0.33709525842308147</v>
      </c>
      <c r="E109">
        <f t="shared" si="20"/>
        <v>0.39394190959095055</v>
      </c>
      <c r="F109">
        <f t="shared" si="16"/>
        <v>1943975090.1011558</v>
      </c>
    </row>
    <row r="110" spans="1:6" x14ac:dyDescent="0.2">
      <c r="A110">
        <f t="shared" si="21"/>
        <v>19.899999999999963</v>
      </c>
      <c r="B110">
        <f t="shared" si="14"/>
        <v>0.34732052114687095</v>
      </c>
      <c r="C110">
        <f t="shared" si="15"/>
        <v>0.94028812701041908</v>
      </c>
      <c r="D110">
        <f t="shared" si="19"/>
        <v>0.34037955021304955</v>
      </c>
      <c r="E110">
        <f t="shared" si="20"/>
        <v>0.39714789063478001</v>
      </c>
      <c r="F110">
        <f t="shared" si="16"/>
        <v>2313577163.4694161</v>
      </c>
    </row>
    <row r="111" spans="1:6" x14ac:dyDescent="0.2">
      <c r="A111">
        <f t="shared" si="21"/>
        <v>20.099999999999962</v>
      </c>
      <c r="B111">
        <f t="shared" si="14"/>
        <v>0.35081117965085956</v>
      </c>
      <c r="C111">
        <f t="shared" si="15"/>
        <v>0.93909425209470931</v>
      </c>
      <c r="D111">
        <f t="shared" si="19"/>
        <v>0.34365969458561541</v>
      </c>
      <c r="E111">
        <f t="shared" si="20"/>
        <v>0.4003490325568943</v>
      </c>
      <c r="F111">
        <f t="shared" si="16"/>
        <v>2752727244.7768235</v>
      </c>
    </row>
    <row r="112" spans="1:6" x14ac:dyDescent="0.2">
      <c r="A112">
        <f t="shared" si="21"/>
        <v>20.299999999999962</v>
      </c>
      <c r="B112">
        <f t="shared" si="14"/>
        <v>0.35430183815484823</v>
      </c>
      <c r="C112">
        <f t="shared" si="15"/>
        <v>0.93788893461189793</v>
      </c>
      <c r="D112">
        <f t="shared" si="19"/>
        <v>0.34693565157325523</v>
      </c>
      <c r="E112">
        <f t="shared" si="20"/>
        <v>0.40354529635238939</v>
      </c>
      <c r="F112">
        <f t="shared" si="16"/>
        <v>3274366987.9794111</v>
      </c>
    </row>
    <row r="113" spans="1:6" x14ac:dyDescent="0.2">
      <c r="A113">
        <f t="shared" si="21"/>
        <v>20.499999999999961</v>
      </c>
      <c r="B113">
        <f t="shared" si="14"/>
        <v>0.35779249665883689</v>
      </c>
      <c r="C113">
        <f t="shared" si="15"/>
        <v>0.9366721892483979</v>
      </c>
      <c r="D113">
        <f t="shared" si="19"/>
        <v>0.35020738125946682</v>
      </c>
      <c r="E113">
        <f t="shared" si="20"/>
        <v>0.40673664307579954</v>
      </c>
      <c r="F113">
        <f t="shared" si="16"/>
        <v>3893817441.9116001</v>
      </c>
    </row>
    <row r="114" spans="1:6" x14ac:dyDescent="0.2">
      <c r="A114">
        <f t="shared" si="21"/>
        <v>20.69999999999996</v>
      </c>
      <c r="B114">
        <f t="shared" si="14"/>
        <v>0.3612831551628255</v>
      </c>
      <c r="C114">
        <f t="shared" si="15"/>
        <v>0.9354440308298676</v>
      </c>
      <c r="D114">
        <f t="shared" si="19"/>
        <v>0.35347484377925642</v>
      </c>
      <c r="E114">
        <f t="shared" si="20"/>
        <v>0.40992303384157203</v>
      </c>
      <c r="F114">
        <f t="shared" si="16"/>
        <v>4629210862.1577463</v>
      </c>
    </row>
    <row r="115" spans="1:6" x14ac:dyDescent="0.2">
      <c r="A115">
        <f t="shared" si="21"/>
        <v>20.899999999999959</v>
      </c>
      <c r="B115">
        <f t="shared" si="14"/>
        <v>0.36477381366681416</v>
      </c>
      <c r="C115">
        <f t="shared" si="15"/>
        <v>0.93420447432102982</v>
      </c>
      <c r="D115">
        <f t="shared" si="19"/>
        <v>0.35673799931962452</v>
      </c>
      <c r="E115">
        <f t="shared" si="20"/>
        <v>0.4131044298245411</v>
      </c>
      <c r="F115">
        <f t="shared" si="16"/>
        <v>5501999792.6039886</v>
      </c>
    </row>
    <row r="116" spans="1:6" x14ac:dyDescent="0.2">
      <c r="A116">
        <f t="shared" si="21"/>
        <v>21.099999999999959</v>
      </c>
      <c r="B116">
        <f t="shared" si="14"/>
        <v>0.36826447217080283</v>
      </c>
      <c r="C116">
        <f t="shared" si="15"/>
        <v>0.93295353482548937</v>
      </c>
      <c r="D116">
        <f t="shared" si="19"/>
        <v>0.35999680812005053</v>
      </c>
      <c r="E116">
        <f t="shared" si="20"/>
        <v>0.41628079226040049</v>
      </c>
      <c r="F116">
        <f t="shared" si="16"/>
        <v>6537557033.9880695</v>
      </c>
    </row>
    <row r="117" spans="1:6" x14ac:dyDescent="0.2">
      <c r="A117">
        <f t="shared" si="21"/>
        <v>21.299999999999958</v>
      </c>
      <c r="B117">
        <f t="shared" si="14"/>
        <v>0.37175513067479143</v>
      </c>
      <c r="C117">
        <f t="shared" si="15"/>
        <v>0.93169122758554923</v>
      </c>
      <c r="D117">
        <f t="shared" si="19"/>
        <v>0.36325123047297764</v>
      </c>
      <c r="E117">
        <f t="shared" si="20"/>
        <v>0.41945208244617638</v>
      </c>
      <c r="F117">
        <f t="shared" si="16"/>
        <v>7765882477.012764</v>
      </c>
    </row>
    <row r="118" spans="1:6" x14ac:dyDescent="0.2">
      <c r="A118">
        <f t="shared" si="21"/>
        <v>21.499999999999957</v>
      </c>
      <c r="B118">
        <f t="shared" si="14"/>
        <v>0.3752457891787801</v>
      </c>
      <c r="C118">
        <f t="shared" si="15"/>
        <v>0.9304175679820248</v>
      </c>
      <c r="D118">
        <f t="shared" si="19"/>
        <v>0.36650122672429658</v>
      </c>
      <c r="E118">
        <f t="shared" si="20"/>
        <v>0.42261826174069872</v>
      </c>
      <c r="F118">
        <f t="shared" si="16"/>
        <v>9222435539.5738411</v>
      </c>
    </row>
    <row r="119" spans="1:6" x14ac:dyDescent="0.2">
      <c r="A119">
        <f t="shared" si="21"/>
        <v>21.699999999999957</v>
      </c>
      <c r="B119">
        <f t="shared" si="14"/>
        <v>0.37873644768276871</v>
      </c>
      <c r="C119">
        <f t="shared" si="15"/>
        <v>0.92913257153405648</v>
      </c>
      <c r="D119">
        <f t="shared" si="19"/>
        <v>0.36974675727382855</v>
      </c>
      <c r="E119">
        <f t="shared" si="20"/>
        <v>0.42577929156507188</v>
      </c>
      <c r="F119">
        <f t="shared" si="16"/>
        <v>10949115178.408022</v>
      </c>
    </row>
    <row r="120" spans="1:6" x14ac:dyDescent="0.2">
      <c r="A120">
        <f t="shared" si="21"/>
        <v>21.899999999999956</v>
      </c>
      <c r="B120">
        <f t="shared" si="14"/>
        <v>0.38222710618675743</v>
      </c>
      <c r="C120">
        <f t="shared" si="15"/>
        <v>0.92783625389892022</v>
      </c>
      <c r="D120">
        <f t="shared" si="19"/>
        <v>0.37298778257580822</v>
      </c>
      <c r="E120">
        <f t="shared" si="20"/>
        <v>0.42893513340314521</v>
      </c>
      <c r="F120">
        <f t="shared" si="16"/>
        <v>12995413222.960609</v>
      </c>
    </row>
    <row r="121" spans="1:6" x14ac:dyDescent="0.2">
      <c r="A121">
        <f t="shared" si="21"/>
        <v>22.099999999999955</v>
      </c>
      <c r="B121">
        <f t="shared" si="14"/>
        <v>0.38571776469074598</v>
      </c>
      <c r="C121">
        <f t="shared" si="15"/>
        <v>0.92652863087183768</v>
      </c>
      <c r="D121">
        <f t="shared" si="19"/>
        <v>0.3762242631393648</v>
      </c>
      <c r="E121">
        <f t="shared" si="20"/>
        <v>0.43208574880198147</v>
      </c>
      <c r="F121">
        <f t="shared" si="16"/>
        <v>15419771194.163912</v>
      </c>
    </row>
    <row r="122" spans="1:6" x14ac:dyDescent="0.2">
      <c r="A122">
        <f t="shared" si="21"/>
        <v>22.299999999999955</v>
      </c>
      <c r="B122">
        <f t="shared" si="14"/>
        <v>0.3892084231947347</v>
      </c>
      <c r="C122">
        <f t="shared" si="15"/>
        <v>0.92520971838578236</v>
      </c>
      <c r="D122">
        <f t="shared" si="19"/>
        <v>0.37945615952900436</v>
      </c>
      <c r="E122">
        <f t="shared" si="20"/>
        <v>0.43523109937232674</v>
      </c>
      <c r="F122">
        <f t="shared" si="16"/>
        <v>18291175928.462128</v>
      </c>
    </row>
    <row r="123" spans="1:6" x14ac:dyDescent="0.2">
      <c r="A123">
        <f t="shared" si="21"/>
        <v>22.499999999999954</v>
      </c>
      <c r="B123">
        <f t="shared" si="14"/>
        <v>0.39269908169872336</v>
      </c>
      <c r="C123">
        <f t="shared" si="15"/>
        <v>0.92387953251128707</v>
      </c>
      <c r="D123">
        <f t="shared" si="19"/>
        <v>0.38268343236508906</v>
      </c>
      <c r="E123">
        <f t="shared" si="20"/>
        <v>0.43837114678907674</v>
      </c>
      <c r="F123">
        <f t="shared" si="16"/>
        <v>21691035350.179729</v>
      </c>
    </row>
    <row r="124" spans="1:6" x14ac:dyDescent="0.2">
      <c r="A124">
        <f t="shared" si="21"/>
        <v>22.699999999999953</v>
      </c>
      <c r="B124">
        <f t="shared" si="14"/>
        <v>0.39618974020271197</v>
      </c>
      <c r="C124">
        <f t="shared" si="15"/>
        <v>0.92253808945624671</v>
      </c>
      <c r="D124">
        <f t="shared" si="19"/>
        <v>0.38590604232431786</v>
      </c>
      <c r="E124">
        <f t="shared" si="20"/>
        <v>0.44150585279174448</v>
      </c>
      <c r="F124">
        <f t="shared" si="16"/>
        <v>25715382765.300442</v>
      </c>
    </row>
    <row r="125" spans="1:6" x14ac:dyDescent="0.2">
      <c r="A125">
        <f t="shared" si="21"/>
        <v>22.899999999999952</v>
      </c>
      <c r="B125">
        <f t="shared" si="14"/>
        <v>0.39968039870670063</v>
      </c>
      <c r="C125">
        <f t="shared" si="15"/>
        <v>0.92118540556572159</v>
      </c>
      <c r="D125">
        <f t="shared" si="19"/>
        <v>0.38912395014020551</v>
      </c>
      <c r="E125">
        <f t="shared" si="20"/>
        <v>0.44463517918492673</v>
      </c>
      <c r="F125">
        <f t="shared" si="16"/>
        <v>30477466251.746922</v>
      </c>
    </row>
    <row r="126" spans="1:6" x14ac:dyDescent="0.2">
      <c r="A126">
        <f t="shared" si="21"/>
        <v>23.099999999999952</v>
      </c>
      <c r="B126">
        <f t="shared" si="14"/>
        <v>0.40317105721068924</v>
      </c>
      <c r="C126">
        <f t="shared" si="15"/>
        <v>0.91982149732173801</v>
      </c>
      <c r="D126">
        <f t="shared" si="19"/>
        <v>0.39233711660356069</v>
      </c>
      <c r="E126">
        <f t="shared" si="20"/>
        <v>0.44775908783876889</v>
      </c>
      <c r="F126">
        <f t="shared" si="16"/>
        <v>36110789286.561684</v>
      </c>
    </row>
    <row r="127" spans="1:6" x14ac:dyDescent="0.2">
      <c r="A127">
        <f t="shared" si="21"/>
        <v>23.299999999999951</v>
      </c>
      <c r="B127">
        <f t="shared" si="14"/>
        <v>0.40666171571467791</v>
      </c>
      <c r="C127">
        <f t="shared" si="15"/>
        <v>0.91844638134308754</v>
      </c>
      <c r="D127">
        <f t="shared" si="19"/>
        <v>0.39554550256296411</v>
      </c>
      <c r="E127">
        <f t="shared" si="20"/>
        <v>0.45087754068942992</v>
      </c>
      <c r="F127">
        <f t="shared" si="16"/>
        <v>42772679900.666527</v>
      </c>
    </row>
    <row r="128" spans="1:6" x14ac:dyDescent="0.2">
      <c r="A128">
        <f t="shared" si="21"/>
        <v>23.49999999999995</v>
      </c>
      <c r="B128">
        <f t="shared" si="14"/>
        <v>0.41015237421866657</v>
      </c>
      <c r="C128">
        <f t="shared" si="15"/>
        <v>0.91706007438512438</v>
      </c>
      <c r="D128">
        <f t="shared" si="19"/>
        <v>0.39874906892524542</v>
      </c>
      <c r="E128">
        <f t="shared" si="20"/>
        <v>0.45399049973954603</v>
      </c>
      <c r="F128">
        <f t="shared" si="16"/>
        <v>50648478643.949089</v>
      </c>
    </row>
    <row r="129" spans="1:6" x14ac:dyDescent="0.2">
      <c r="A129">
        <f t="shared" si="21"/>
        <v>23.69999999999995</v>
      </c>
      <c r="B129">
        <f t="shared" si="14"/>
        <v>0.41364303272265518</v>
      </c>
      <c r="C129">
        <f t="shared" si="15"/>
        <v>0.91566259333956146</v>
      </c>
      <c r="D129">
        <f t="shared" si="19"/>
        <v>0.40194777665595932</v>
      </c>
      <c r="E129">
        <f t="shared" si="20"/>
        <v>0.45709792705869334</v>
      </c>
      <c r="F129">
        <f t="shared" si="16"/>
        <v>59956450774.789337</v>
      </c>
    </row>
    <row r="130" spans="1:6" x14ac:dyDescent="0.2">
      <c r="A130">
        <f t="shared" si="21"/>
        <v>23.899999999999949</v>
      </c>
      <c r="B130">
        <f t="shared" si="14"/>
        <v>0.4171336912266439</v>
      </c>
      <c r="C130">
        <f t="shared" si="15"/>
        <v>0.91425395523426412</v>
      </c>
      <c r="D130">
        <f t="shared" si="19"/>
        <v>0.40514158677986173</v>
      </c>
      <c r="E130">
        <f t="shared" si="20"/>
        <v>0.46019978478385082</v>
      </c>
      <c r="F130">
        <f t="shared" si="16"/>
        <v>70953545703.089066</v>
      </c>
    </row>
    <row r="131" spans="1:6" x14ac:dyDescent="0.2">
      <c r="A131">
        <f t="shared" si="21"/>
        <v>24.099999999999948</v>
      </c>
      <c r="B131">
        <f t="shared" si="14"/>
        <v>0.42062434973063245</v>
      </c>
      <c r="C131">
        <f t="shared" si="15"/>
        <v>0.91283417723304316</v>
      </c>
      <c r="D131">
        <f t="shared" si="19"/>
        <v>0.40833046038138404</v>
      </c>
      <c r="E131">
        <f t="shared" si="20"/>
        <v>0.46329603511986084</v>
      </c>
      <c r="F131">
        <f t="shared" si="16"/>
        <v>83942147212.752762</v>
      </c>
    </row>
    <row r="132" spans="1:6" x14ac:dyDescent="0.2">
      <c r="A132">
        <f t="shared" si="21"/>
        <v>24.299999999999947</v>
      </c>
      <c r="B132">
        <f t="shared" si="14"/>
        <v>0.42411500823462117</v>
      </c>
      <c r="C132">
        <f t="shared" si="15"/>
        <v>0.91140327663544562</v>
      </c>
      <c r="D132">
        <f t="shared" si="19"/>
        <v>0.41151435860510793</v>
      </c>
      <c r="E132">
        <f t="shared" si="20"/>
        <v>0.46638664033989036</v>
      </c>
      <c r="F132">
        <f t="shared" si="16"/>
        <v>99277981829.050476</v>
      </c>
    </row>
    <row r="133" spans="1:6" x14ac:dyDescent="0.2">
      <c r="A133">
        <f t="shared" si="21"/>
        <v>24.499999999999947</v>
      </c>
      <c r="B133">
        <f t="shared" si="14"/>
        <v>0.42760566673860984</v>
      </c>
      <c r="C133">
        <f t="shared" si="15"/>
        <v>0.90996127087654355</v>
      </c>
      <c r="D133">
        <f t="shared" si="19"/>
        <v>0.41469324265623819</v>
      </c>
      <c r="E133">
        <f t="shared" si="20"/>
        <v>0.46947156278588997</v>
      </c>
      <c r="F133">
        <f t="shared" si="16"/>
        <v>117379380410.6637</v>
      </c>
    </row>
    <row r="134" spans="1:6" x14ac:dyDescent="0.2">
      <c r="A134">
        <f t="shared" si="21"/>
        <v>24.699999999999946</v>
      </c>
      <c r="B134">
        <f t="shared" si="14"/>
        <v>0.43109632524259844</v>
      </c>
      <c r="C134">
        <f t="shared" si="15"/>
        <v>0.90850817752672219</v>
      </c>
      <c r="D134">
        <f t="shared" si="19"/>
        <v>0.41786707380107591</v>
      </c>
      <c r="E134">
        <f t="shared" si="20"/>
        <v>0.47255076486905317</v>
      </c>
      <c r="F134">
        <f t="shared" si="16"/>
        <v>138738120250.49078</v>
      </c>
    </row>
    <row r="135" spans="1:6" x14ac:dyDescent="0.2">
      <c r="A135">
        <f t="shared" si="21"/>
        <v>24.899999999999945</v>
      </c>
      <c r="B135">
        <f t="shared" si="14"/>
        <v>0.43458698374658711</v>
      </c>
      <c r="C135">
        <f t="shared" si="15"/>
        <v>0.90704401429146531</v>
      </c>
      <c r="D135">
        <f t="shared" si="19"/>
        <v>0.42103581336749013</v>
      </c>
      <c r="E135">
        <f t="shared" si="20"/>
        <v>0.47562420907027436</v>
      </c>
      <c r="F135">
        <f t="shared" si="16"/>
        <v>163932112373.32407</v>
      </c>
    </row>
    <row r="136" spans="1:6" x14ac:dyDescent="0.2">
      <c r="A136">
        <f t="shared" si="21"/>
        <v>25.099999999999945</v>
      </c>
      <c r="B136">
        <f t="shared" si="14"/>
        <v>0.43807764225057572</v>
      </c>
      <c r="C136">
        <f t="shared" si="15"/>
        <v>0.90556879901114007</v>
      </c>
      <c r="D136">
        <f t="shared" si="19"/>
        <v>0.4241994227453893</v>
      </c>
      <c r="E136">
        <f t="shared" si="20"/>
        <v>0.47869185794060587</v>
      </c>
      <c r="F136">
        <f t="shared" si="16"/>
        <v>193640242141.63297</v>
      </c>
    </row>
    <row r="137" spans="1:6" x14ac:dyDescent="0.2">
      <c r="A137">
        <f t="shared" si="21"/>
        <v>25.299999999999944</v>
      </c>
      <c r="B137">
        <f t="shared" si="14"/>
        <v>0.44156830075456438</v>
      </c>
      <c r="C137">
        <f t="shared" si="15"/>
        <v>0.90408254966077883</v>
      </c>
      <c r="D137">
        <f t="shared" si="19"/>
        <v>0.42735786338719151</v>
      </c>
      <c r="E137">
        <f t="shared" si="20"/>
        <v>0.48175367410171438</v>
      </c>
      <c r="F137">
        <f t="shared" si="16"/>
        <v>228659721667.53818</v>
      </c>
    </row>
    <row r="138" spans="1:6" x14ac:dyDescent="0.2">
      <c r="A138">
        <f t="shared" si="21"/>
        <v>25.499999999999943</v>
      </c>
      <c r="B138">
        <f t="shared" si="14"/>
        <v>0.44505895925855304</v>
      </c>
      <c r="C138">
        <f t="shared" si="15"/>
        <v>0.90258528434986107</v>
      </c>
      <c r="D138">
        <f t="shared" si="19"/>
        <v>0.43051109680829425</v>
      </c>
      <c r="E138">
        <f t="shared" si="20"/>
        <v>0.48480962024633611</v>
      </c>
      <c r="F138">
        <f t="shared" si="16"/>
        <v>269926370968.81555</v>
      </c>
    </row>
    <row r="139" spans="1:6" x14ac:dyDescent="0.2">
      <c r="A139">
        <f t="shared" si="21"/>
        <v>25.699999999999942</v>
      </c>
      <c r="B139">
        <f t="shared" ref="B139:B202" si="22">A139*PI()/180</f>
        <v>0.44854961776254165</v>
      </c>
      <c r="C139">
        <f t="shared" ref="C139:C202" si="23">COS(B139)</f>
        <v>0.901077021322092</v>
      </c>
      <c r="D139">
        <f t="shared" si="19"/>
        <v>0.43365908458754338</v>
      </c>
      <c r="E139">
        <f t="shared" si="20"/>
        <v>0.48785965913873175</v>
      </c>
      <c r="F139">
        <f t="shared" ref="F139:F202" si="24">EXP(E139*$C$5*$C$6^2/($C$3*$C$2))</f>
        <v>318538312553.80469</v>
      </c>
    </row>
    <row r="140" spans="1:6" x14ac:dyDescent="0.2">
      <c r="A140">
        <f t="shared" si="21"/>
        <v>25.899999999999942</v>
      </c>
      <c r="B140">
        <f t="shared" si="22"/>
        <v>0.45204027626653037</v>
      </c>
      <c r="C140">
        <f t="shared" si="23"/>
        <v>0.89955777895518074</v>
      </c>
      <c r="D140">
        <f t="shared" si="19"/>
        <v>0.43680178836770134</v>
      </c>
      <c r="E140">
        <f t="shared" si="20"/>
        <v>0.49090375361513994</v>
      </c>
      <c r="F140">
        <f t="shared" si="24"/>
        <v>375783642619.13843</v>
      </c>
    </row>
    <row r="141" spans="1:6" x14ac:dyDescent="0.2">
      <c r="A141">
        <f t="shared" si="21"/>
        <v>26.099999999999941</v>
      </c>
      <c r="B141">
        <f t="shared" si="22"/>
        <v>0.45553093477051892</v>
      </c>
      <c r="C141">
        <f t="shared" si="23"/>
        <v>0.89802757576061609</v>
      </c>
      <c r="D141">
        <f t="shared" si="19"/>
        <v>0.43993916985591414</v>
      </c>
      <c r="E141">
        <f t="shared" si="20"/>
        <v>0.49394186658422995</v>
      </c>
      <c r="F141">
        <f t="shared" si="24"/>
        <v>443172732957.34509</v>
      </c>
    </row>
    <row r="142" spans="1:6" x14ac:dyDescent="0.2">
      <c r="A142">
        <f t="shared" si="21"/>
        <v>26.29999999999994</v>
      </c>
      <c r="B142">
        <f t="shared" si="22"/>
        <v>0.45902159327450764</v>
      </c>
      <c r="C142">
        <f t="shared" si="23"/>
        <v>0.896486430383441</v>
      </c>
      <c r="D142">
        <f t="shared" si="19"/>
        <v>0.44307119082417878</v>
      </c>
      <c r="E142">
        <f t="shared" si="20"/>
        <v>0.49697396102755442</v>
      </c>
      <c r="F142">
        <f t="shared" si="24"/>
        <v>522475922910.67725</v>
      </c>
    </row>
    <row r="143" spans="1:6" x14ac:dyDescent="0.2">
      <c r="A143">
        <f t="shared" si="21"/>
        <v>26.49999999999994</v>
      </c>
      <c r="B143">
        <f t="shared" si="22"/>
        <v>0.46251225177849631</v>
      </c>
      <c r="C143">
        <f t="shared" si="23"/>
        <v>0.89493436160202555</v>
      </c>
      <c r="D143">
        <f t="shared" si="19"/>
        <v>0.44619781310980788</v>
      </c>
      <c r="E143">
        <f t="shared" si="20"/>
        <v>0.49999999999999906</v>
      </c>
      <c r="F143">
        <f t="shared" si="24"/>
        <v>615767482470.31836</v>
      </c>
    </row>
    <row r="144" spans="1:6" x14ac:dyDescent="0.2">
      <c r="A144">
        <f t="shared" si="21"/>
        <v>26.699999999999939</v>
      </c>
      <c r="B144">
        <f t="shared" si="22"/>
        <v>0.46600291028248492</v>
      </c>
      <c r="C144">
        <f t="shared" si="23"/>
        <v>0.89337138832783802</v>
      </c>
      <c r="D144">
        <f t="shared" si="19"/>
        <v>0.44931899861589564</v>
      </c>
      <c r="E144">
        <f t="shared" si="20"/>
        <v>0.50301994663023408</v>
      </c>
      <c r="F144">
        <f t="shared" si="24"/>
        <v>725476868431.64832</v>
      </c>
    </row>
    <row r="145" spans="1:6" x14ac:dyDescent="0.2">
      <c r="A145">
        <f t="shared" si="21"/>
        <v>26.899999999999938</v>
      </c>
      <c r="B145">
        <f t="shared" si="22"/>
        <v>0.46949356878647358</v>
      </c>
      <c r="C145">
        <f t="shared" si="23"/>
        <v>0.89179752960521452</v>
      </c>
      <c r="D145">
        <f t="shared" si="19"/>
        <v>0.45243470931178176</v>
      </c>
      <c r="E145">
        <f t="shared" si="20"/>
        <v>0.50603376412116285</v>
      </c>
      <c r="F145">
        <f t="shared" si="24"/>
        <v>854448458274.5249</v>
      </c>
    </row>
    <row r="146" spans="1:6" x14ac:dyDescent="0.2">
      <c r="A146">
        <f t="shared" si="21"/>
        <v>27.099999999999937</v>
      </c>
      <c r="B146">
        <f t="shared" si="22"/>
        <v>0.47298422729046219</v>
      </c>
      <c r="C146">
        <f t="shared" si="23"/>
        <v>0.89021280461112706</v>
      </c>
      <c r="D146">
        <f t="shared" si="19"/>
        <v>0.45554490723351454</v>
      </c>
      <c r="E146">
        <f t="shared" si="20"/>
        <v>0.50904141575037032</v>
      </c>
      <c r="F146">
        <f t="shared" si="24"/>
        <v>1006011134469.9802</v>
      </c>
    </row>
    <row r="147" spans="1:6" x14ac:dyDescent="0.2">
      <c r="A147">
        <f t="shared" si="21"/>
        <v>27.299999999999937</v>
      </c>
      <c r="B147">
        <f t="shared" si="22"/>
        <v>0.47647488579445085</v>
      </c>
      <c r="C147">
        <f t="shared" si="23"/>
        <v>0.8886172326549493</v>
      </c>
      <c r="D147">
        <f t="shared" si="19"/>
        <v>0.45864955448431394</v>
      </c>
      <c r="E147">
        <f t="shared" si="20"/>
        <v>0.51204286487057049</v>
      </c>
      <c r="F147">
        <f t="shared" si="24"/>
        <v>1184059309035.5225</v>
      </c>
    </row>
    <row r="148" spans="1:6" x14ac:dyDescent="0.2">
      <c r="A148">
        <f t="shared" si="21"/>
        <v>27.499999999999936</v>
      </c>
      <c r="B148">
        <f t="shared" si="22"/>
        <v>0.47996554429843946</v>
      </c>
      <c r="C148">
        <f t="shared" si="23"/>
        <v>0.88701083317822227</v>
      </c>
      <c r="D148">
        <f t="shared" si="19"/>
        <v>0.46174861323503291</v>
      </c>
      <c r="E148">
        <f t="shared" si="20"/>
        <v>0.51503807491005316</v>
      </c>
      <c r="F148">
        <f t="shared" si="24"/>
        <v>1393147228743.3354</v>
      </c>
    </row>
    <row r="149" spans="1:6" x14ac:dyDescent="0.2">
      <c r="A149">
        <f t="shared" si="21"/>
        <v>27.699999999999935</v>
      </c>
      <c r="B149">
        <f t="shared" si="22"/>
        <v>0.48345620280242813</v>
      </c>
      <c r="C149">
        <f t="shared" si="23"/>
        <v>0.88539362575441638</v>
      </c>
      <c r="D149">
        <f t="shared" ref="D149:D212" si="25">SIN(B149)</f>
        <v>0.46484204572461862</v>
      </c>
      <c r="E149">
        <f t="shared" ref="E149:E212" si="26">C149*$E$7+D149*$F$7</f>
        <v>0.51802700937312918</v>
      </c>
      <c r="F149">
        <f t="shared" si="24"/>
        <v>1638598690438.5903</v>
      </c>
    </row>
    <row r="150" spans="1:6" x14ac:dyDescent="0.2">
      <c r="A150">
        <f t="shared" si="21"/>
        <v>27.899999999999935</v>
      </c>
      <c r="B150">
        <f t="shared" si="22"/>
        <v>0.48694686130641684</v>
      </c>
      <c r="C150">
        <f t="shared" si="23"/>
        <v>0.88376563008869391</v>
      </c>
      <c r="D150">
        <f t="shared" si="25"/>
        <v>0.4679298142605724</v>
      </c>
      <c r="E150">
        <f t="shared" si="26"/>
        <v>0.52100963184057536</v>
      </c>
      <c r="F150">
        <f t="shared" si="24"/>
        <v>1926634629181.8462</v>
      </c>
    </row>
    <row r="151" spans="1:6" x14ac:dyDescent="0.2">
      <c r="A151">
        <f t="shared" si="21"/>
        <v>28.099999999999934</v>
      </c>
      <c r="B151">
        <f t="shared" si="22"/>
        <v>0.4904375198104054</v>
      </c>
      <c r="C151">
        <f t="shared" si="23"/>
        <v>0.88212686601766832</v>
      </c>
      <c r="D151">
        <f t="shared" si="25"/>
        <v>0.47101188121940896</v>
      </c>
      <c r="E151">
        <f t="shared" si="26"/>
        <v>0.5239859059700781</v>
      </c>
      <c r="F151">
        <f t="shared" si="24"/>
        <v>2264521425953.5127</v>
      </c>
    </row>
    <row r="152" spans="1:6" x14ac:dyDescent="0.2">
      <c r="A152">
        <f t="shared" si="21"/>
        <v>28.299999999999933</v>
      </c>
      <c r="B152">
        <f t="shared" si="22"/>
        <v>0.49392817831439412</v>
      </c>
      <c r="C152">
        <f t="shared" si="23"/>
        <v>0.88047735350916256</v>
      </c>
      <c r="D152">
        <f t="shared" si="25"/>
        <v>0.47408820904711524</v>
      </c>
      <c r="E152">
        <f t="shared" si="26"/>
        <v>0.52695579549667648</v>
      </c>
      <c r="F152">
        <f t="shared" si="24"/>
        <v>2660743223950.0469</v>
      </c>
    </row>
    <row r="153" spans="1:6" x14ac:dyDescent="0.2">
      <c r="A153">
        <f t="shared" si="21"/>
        <v>28.499999999999932</v>
      </c>
      <c r="B153">
        <f t="shared" si="22"/>
        <v>0.49741883681838267</v>
      </c>
      <c r="C153">
        <f t="shared" si="23"/>
        <v>0.87881711266196594</v>
      </c>
      <c r="D153">
        <f t="shared" si="25"/>
        <v>0.4771587602596073</v>
      </c>
      <c r="E153">
        <f t="shared" si="26"/>
        <v>0.52991926423320379</v>
      </c>
      <c r="F153">
        <f t="shared" si="24"/>
        <v>3125202051635.2637</v>
      </c>
    </row>
    <row r="154" spans="1:6" x14ac:dyDescent="0.2">
      <c r="A154">
        <f t="shared" si="21"/>
        <v>28.699999999999932</v>
      </c>
      <c r="B154">
        <f t="shared" si="22"/>
        <v>0.50090949532237139</v>
      </c>
      <c r="C154">
        <f t="shared" si="23"/>
        <v>0.87714616370558929</v>
      </c>
      <c r="D154">
        <f t="shared" si="25"/>
        <v>0.48022349744318787</v>
      </c>
      <c r="E154">
        <f t="shared" si="26"/>
        <v>0.53287627607072896</v>
      </c>
      <c r="F154">
        <f t="shared" si="24"/>
        <v>3669450136479.375</v>
      </c>
    </row>
    <row r="155" spans="1:6" x14ac:dyDescent="0.2">
      <c r="A155">
        <f t="shared" si="21"/>
        <v>28.899999999999931</v>
      </c>
      <c r="B155">
        <f t="shared" si="22"/>
        <v>0.50440015382636005</v>
      </c>
      <c r="C155">
        <f t="shared" si="23"/>
        <v>0.87546452700001842</v>
      </c>
      <c r="D155">
        <f t="shared" si="25"/>
        <v>0.48328238325500134</v>
      </c>
      <c r="E155">
        <f t="shared" si="26"/>
        <v>0.53582679497899555</v>
      </c>
      <c r="F155">
        <f t="shared" si="24"/>
        <v>4306959466895.8296</v>
      </c>
    </row>
    <row r="156" spans="1:6" x14ac:dyDescent="0.2">
      <c r="A156">
        <f t="shared" si="21"/>
        <v>29.09999999999993</v>
      </c>
      <c r="B156">
        <f t="shared" si="22"/>
        <v>0.50789081233034861</v>
      </c>
      <c r="C156">
        <f t="shared" si="23"/>
        <v>0.87377222303546587</v>
      </c>
      <c r="D156">
        <f t="shared" si="25"/>
        <v>0.48633538042348934</v>
      </c>
      <c r="E156">
        <f t="shared" si="26"/>
        <v>0.53877078500686193</v>
      </c>
      <c r="F156">
        <f t="shared" si="24"/>
        <v>5053434434025.5469</v>
      </c>
    </row>
    <row r="157" spans="1:6" x14ac:dyDescent="0.2">
      <c r="A157">
        <f t="shared" si="21"/>
        <v>29.29999999999993</v>
      </c>
      <c r="B157">
        <f t="shared" si="22"/>
        <v>0.51138147083433738</v>
      </c>
      <c r="C157">
        <f t="shared" si="23"/>
        <v>0.87206927243212118</v>
      </c>
      <c r="D157">
        <f t="shared" si="25"/>
        <v>0.4893824517488452</v>
      </c>
      <c r="E157">
        <f t="shared" si="26"/>
        <v>0.54170821028273886</v>
      </c>
      <c r="F157">
        <f t="shared" si="24"/>
        <v>5927174274245.3535</v>
      </c>
    </row>
    <row r="158" spans="1:6" x14ac:dyDescent="0.2">
      <c r="A158">
        <f t="shared" si="21"/>
        <v>29.499999999999929</v>
      </c>
      <c r="B158">
        <f t="shared" si="22"/>
        <v>0.51487212933832593</v>
      </c>
      <c r="C158">
        <f t="shared" si="23"/>
        <v>0.87035569593990036</v>
      </c>
      <c r="D158">
        <f t="shared" si="25"/>
        <v>0.492423560103466</v>
      </c>
      <c r="E158">
        <f t="shared" si="26"/>
        <v>0.54463903501502597</v>
      </c>
      <c r="F158">
        <f t="shared" si="24"/>
        <v>6949493054157.0527</v>
      </c>
    </row>
    <row r="159" spans="1:6" x14ac:dyDescent="0.2">
      <c r="A159">
        <f t="shared" si="21"/>
        <v>29.699999999999928</v>
      </c>
      <c r="B159">
        <f t="shared" si="22"/>
        <v>0.5183627878423146</v>
      </c>
      <c r="C159">
        <f t="shared" si="23"/>
        <v>0.86863151443819187</v>
      </c>
      <c r="D159">
        <f t="shared" si="25"/>
        <v>0.49545866843240643</v>
      </c>
      <c r="E159">
        <f t="shared" si="26"/>
        <v>0.54756322349254916</v>
      </c>
      <c r="F159">
        <f t="shared" si="24"/>
        <v>8145206111188.4932</v>
      </c>
    </row>
    <row r="160" spans="1:6" x14ac:dyDescent="0.2">
      <c r="A160">
        <f t="shared" si="21"/>
        <v>29.899999999999928</v>
      </c>
      <c r="B160">
        <f t="shared" si="22"/>
        <v>0.52185344634630326</v>
      </c>
      <c r="C160">
        <f t="shared" si="23"/>
        <v>0.86689674893560342</v>
      </c>
      <c r="D160">
        <f t="shared" si="25"/>
        <v>0.49848773975382921</v>
      </c>
      <c r="E160">
        <f t="shared" si="26"/>
        <v>0.55048074008499448</v>
      </c>
      <c r="F160">
        <f t="shared" si="24"/>
        <v>9543193206257.4824</v>
      </c>
    </row>
    <row r="161" spans="1:6" x14ac:dyDescent="0.2">
      <c r="A161">
        <f t="shared" si="21"/>
        <v>30.099999999999927</v>
      </c>
      <c r="B161">
        <f t="shared" si="22"/>
        <v>0.52534410485029193</v>
      </c>
      <c r="C161">
        <f t="shared" si="23"/>
        <v>0.86515142056970507</v>
      </c>
      <c r="D161">
        <f t="shared" si="25"/>
        <v>0.50151073715945627</v>
      </c>
      <c r="E161">
        <f t="shared" si="26"/>
        <v>0.553391549243343</v>
      </c>
      <c r="F161">
        <f t="shared" si="24"/>
        <v>11177050184604.129</v>
      </c>
    </row>
    <row r="162" spans="1:6" x14ac:dyDescent="0.2">
      <c r="A162">
        <f t="shared" si="21"/>
        <v>30.299999999999926</v>
      </c>
      <c r="B162">
        <f t="shared" si="22"/>
        <v>0.52883476335428059</v>
      </c>
      <c r="C162">
        <f t="shared" si="23"/>
        <v>0.86339555060677231</v>
      </c>
      <c r="D162">
        <f t="shared" si="25"/>
        <v>0.50452762381501814</v>
      </c>
      <c r="E162">
        <f t="shared" si="26"/>
        <v>0.55629561550030371</v>
      </c>
      <c r="F162">
        <f t="shared" si="24"/>
        <v>13085842704589.986</v>
      </c>
    </row>
    <row r="163" spans="1:6" x14ac:dyDescent="0.2">
      <c r="A163">
        <f t="shared" si="21"/>
        <v>30.499999999999925</v>
      </c>
      <c r="B163">
        <f t="shared" si="22"/>
        <v>0.53232542185826914</v>
      </c>
      <c r="C163">
        <f t="shared" si="23"/>
        <v>0.86162916044152649</v>
      </c>
      <c r="D163">
        <f t="shared" si="25"/>
        <v>0.50753836296070298</v>
      </c>
      <c r="E163">
        <f t="shared" si="26"/>
        <v>0.55919290347074557</v>
      </c>
      <c r="F163">
        <f t="shared" si="24"/>
        <v>15314977613468.578</v>
      </c>
    </row>
    <row r="164" spans="1:6" x14ac:dyDescent="0.2">
      <c r="A164">
        <f t="shared" si="21"/>
        <v>30.699999999999925</v>
      </c>
      <c r="B164">
        <f t="shared" si="22"/>
        <v>0.53581608036225781</v>
      </c>
      <c r="C164">
        <f t="shared" si="23"/>
        <v>0.85985227159687416</v>
      </c>
      <c r="D164">
        <f t="shared" si="25"/>
        <v>0.51054291791160455</v>
      </c>
      <c r="E164">
        <f t="shared" si="26"/>
        <v>0.56208337785212936</v>
      </c>
      <c r="F164">
        <f t="shared" si="24"/>
        <v>17917209859559.32</v>
      </c>
    </row>
    <row r="165" spans="1:6" x14ac:dyDescent="0.2">
      <c r="A165">
        <f t="shared" si="21"/>
        <v>30.899999999999924</v>
      </c>
      <c r="B165">
        <f t="shared" si="22"/>
        <v>0.53930673886624647</v>
      </c>
      <c r="C165">
        <f t="shared" si="23"/>
        <v>0.85806490572364524</v>
      </c>
      <c r="D165">
        <f t="shared" si="25"/>
        <v>0.51354125205816892</v>
      </c>
      <c r="E165">
        <f t="shared" si="26"/>
        <v>0.56496700342493678</v>
      </c>
      <c r="F165">
        <f t="shared" si="24"/>
        <v>20953805472396.41</v>
      </c>
    </row>
    <row r="166" spans="1:6" x14ac:dyDescent="0.2">
      <c r="A166">
        <f t="shared" si="21"/>
        <v>31.099999999999923</v>
      </c>
      <c r="B166">
        <f t="shared" si="22"/>
        <v>0.54279739737023514</v>
      </c>
      <c r="C166">
        <f t="shared" si="23"/>
        <v>0.85626708460032885</v>
      </c>
      <c r="D166">
        <f t="shared" si="25"/>
        <v>0.51653332886664072</v>
      </c>
      <c r="E166">
        <f t="shared" si="26"/>
        <v>0.5678437450531002</v>
      </c>
      <c r="F166">
        <f t="shared" si="24"/>
        <v>24495884162190.961</v>
      </c>
    </row>
    <row r="167" spans="1:6" x14ac:dyDescent="0.2">
      <c r="A167">
        <f t="shared" si="21"/>
        <v>31.299999999999923</v>
      </c>
      <c r="B167">
        <f t="shared" si="22"/>
        <v>0.5462880558742238</v>
      </c>
      <c r="C167">
        <f t="shared" si="23"/>
        <v>0.8544588301328081</v>
      </c>
      <c r="D167">
        <f t="shared" si="25"/>
        <v>0.51951911187950817</v>
      </c>
      <c r="E167">
        <f t="shared" si="26"/>
        <v>0.57071356768443049</v>
      </c>
      <c r="F167">
        <f t="shared" si="24"/>
        <v>28625968539285.957</v>
      </c>
    </row>
    <row r="168" spans="1:6" x14ac:dyDescent="0.2">
      <c r="A168">
        <f t="shared" si="21"/>
        <v>31.499999999999922</v>
      </c>
      <c r="B168">
        <f t="shared" si="22"/>
        <v>0.54977871437821235</v>
      </c>
      <c r="C168">
        <f t="shared" si="23"/>
        <v>0.85264016435409296</v>
      </c>
      <c r="D168">
        <f t="shared" si="25"/>
        <v>0.52249856471594758</v>
      </c>
      <c r="E168">
        <f t="shared" si="26"/>
        <v>0.57357643635104494</v>
      </c>
      <c r="F168">
        <f t="shared" si="24"/>
        <v>33439770892068.047</v>
      </c>
    </row>
    <row r="169" spans="1:6" x14ac:dyDescent="0.2">
      <c r="A169">
        <f t="shared" si="21"/>
        <v>31.699999999999921</v>
      </c>
      <c r="B169">
        <f t="shared" si="22"/>
        <v>0.55326937288220113</v>
      </c>
      <c r="C169">
        <f t="shared" si="23"/>
        <v>0.85081110942405191</v>
      </c>
      <c r="D169">
        <f t="shared" si="25"/>
        <v>0.52547165107226668</v>
      </c>
      <c r="E169">
        <f t="shared" si="26"/>
        <v>0.57643231616979218</v>
      </c>
      <c r="F169">
        <f t="shared" si="24"/>
        <v>39048252954505.867</v>
      </c>
    </row>
    <row r="170" spans="1:6" x14ac:dyDescent="0.2">
      <c r="A170">
        <f t="shared" ref="A170:A233" si="27">A169+0.2</f>
        <v>31.89999999999992</v>
      </c>
      <c r="B170">
        <f t="shared" si="22"/>
        <v>0.55676003138618979</v>
      </c>
      <c r="C170">
        <f t="shared" si="23"/>
        <v>0.84897168762914221</v>
      </c>
      <c r="D170">
        <f t="shared" si="25"/>
        <v>0.52843833472234603</v>
      </c>
      <c r="E170">
        <f t="shared" si="26"/>
        <v>0.57928117234267784</v>
      </c>
      <c r="F170">
        <f t="shared" si="24"/>
        <v>45579999217377.398</v>
      </c>
    </row>
    <row r="171" spans="1:6" x14ac:dyDescent="0.2">
      <c r="A171">
        <f t="shared" si="27"/>
        <v>32.099999999999923</v>
      </c>
      <c r="B171">
        <f t="shared" si="22"/>
        <v>0.56025068989017845</v>
      </c>
      <c r="C171">
        <f t="shared" si="23"/>
        <v>0.84712192138213782</v>
      </c>
      <c r="D171">
        <f t="shared" si="25"/>
        <v>0.53139857951808178</v>
      </c>
      <c r="E171">
        <f t="shared" si="26"/>
        <v>0.58212297015728831</v>
      </c>
      <c r="F171">
        <f t="shared" si="24"/>
        <v>53183950175157.602</v>
      </c>
    </row>
    <row r="172" spans="1:6" x14ac:dyDescent="0.2">
      <c r="A172">
        <f t="shared" si="27"/>
        <v>32.299999999999926</v>
      </c>
      <c r="B172">
        <f t="shared" si="22"/>
        <v>0.56374134839416712</v>
      </c>
      <c r="C172">
        <f t="shared" si="23"/>
        <v>0.84526183322185688</v>
      </c>
      <c r="D172">
        <f t="shared" si="25"/>
        <v>0.53435234938982523</v>
      </c>
      <c r="E172">
        <f t="shared" si="26"/>
        <v>0.58495767498721429</v>
      </c>
      <c r="F172">
        <f t="shared" si="24"/>
        <v>62032548549418.875</v>
      </c>
    </row>
    <row r="173" spans="1:6" x14ac:dyDescent="0.2">
      <c r="A173">
        <f t="shared" si="27"/>
        <v>32.499999999999929</v>
      </c>
      <c r="B173">
        <f t="shared" si="22"/>
        <v>0.56723200689815589</v>
      </c>
      <c r="C173">
        <f t="shared" si="23"/>
        <v>0.84339144581288639</v>
      </c>
      <c r="D173">
        <f t="shared" si="25"/>
        <v>0.53729960834682278</v>
      </c>
      <c r="E173">
        <f t="shared" si="26"/>
        <v>0.58778525229247203</v>
      </c>
      <c r="F173">
        <f t="shared" si="24"/>
        <v>72325359097403.641</v>
      </c>
    </row>
    <row r="174" spans="1:6" x14ac:dyDescent="0.2">
      <c r="A174">
        <f t="shared" si="27"/>
        <v>32.699999999999932</v>
      </c>
      <c r="B174">
        <f t="shared" si="22"/>
        <v>0.57072266540214456</v>
      </c>
      <c r="C174">
        <f t="shared" si="23"/>
        <v>0.84151078194530682</v>
      </c>
      <c r="D174">
        <f t="shared" si="25"/>
        <v>0.54024032047765402</v>
      </c>
      <c r="E174">
        <f t="shared" si="26"/>
        <v>0.59060566761992439</v>
      </c>
      <c r="F174">
        <f t="shared" si="24"/>
        <v>84293231223133.453</v>
      </c>
    </row>
    <row r="175" spans="1:6" x14ac:dyDescent="0.2">
      <c r="A175">
        <f t="shared" si="27"/>
        <v>32.899999999999935</v>
      </c>
      <c r="B175">
        <f t="shared" si="22"/>
        <v>0.57421332390613322</v>
      </c>
      <c r="C175">
        <f t="shared" si="23"/>
        <v>0.83961986453441384</v>
      </c>
      <c r="D175">
        <f t="shared" si="25"/>
        <v>0.54317444995066966</v>
      </c>
      <c r="E175">
        <f t="shared" si="26"/>
        <v>0.59341888660370046</v>
      </c>
      <c r="F175">
        <f t="shared" si="24"/>
        <v>98203083395040.688</v>
      </c>
    </row>
    <row r="176" spans="1:6" x14ac:dyDescent="0.2">
      <c r="A176">
        <f t="shared" si="27"/>
        <v>33.099999999999937</v>
      </c>
      <c r="B176">
        <f t="shared" si="22"/>
        <v>0.577703982410122</v>
      </c>
      <c r="C176">
        <f t="shared" si="23"/>
        <v>0.8377187166204394</v>
      </c>
      <c r="D176">
        <f t="shared" si="25"/>
        <v>0.54610196101442809</v>
      </c>
      <c r="E176">
        <f t="shared" si="26"/>
        <v>0.59622487496561483</v>
      </c>
      <c r="F176">
        <f t="shared" si="24"/>
        <v>114363399493153.62</v>
      </c>
    </row>
    <row r="177" spans="1:6" x14ac:dyDescent="0.2">
      <c r="A177">
        <f t="shared" si="27"/>
        <v>33.29999999999994</v>
      </c>
      <c r="B177">
        <f t="shared" si="22"/>
        <v>0.58119464091411066</v>
      </c>
      <c r="C177">
        <f t="shared" si="23"/>
        <v>0.83580736136827083</v>
      </c>
      <c r="D177">
        <f t="shared" si="25"/>
        <v>0.5490228179981308</v>
      </c>
      <c r="E177">
        <f t="shared" si="26"/>
        <v>0.59902359851558495</v>
      </c>
      <c r="F177">
        <f t="shared" si="24"/>
        <v>133130539833803.64</v>
      </c>
    </row>
    <row r="178" spans="1:6" x14ac:dyDescent="0.2">
      <c r="A178">
        <f t="shared" si="27"/>
        <v>33.499999999999943</v>
      </c>
      <c r="B178">
        <f t="shared" si="22"/>
        <v>0.58468529941809944</v>
      </c>
      <c r="C178">
        <f t="shared" si="23"/>
        <v>0.83388582206716877</v>
      </c>
      <c r="D178">
        <f t="shared" si="25"/>
        <v>0.55193698531205737</v>
      </c>
      <c r="E178">
        <f t="shared" si="26"/>
        <v>0.60181502315204749</v>
      </c>
      <c r="F178">
        <f t="shared" si="24"/>
        <v>154915983945821.03</v>
      </c>
    </row>
    <row r="179" spans="1:6" x14ac:dyDescent="0.2">
      <c r="A179">
        <f t="shared" si="27"/>
        <v>33.699999999999946</v>
      </c>
      <c r="B179">
        <f t="shared" si="22"/>
        <v>0.5881759579220881</v>
      </c>
      <c r="C179">
        <f t="shared" si="23"/>
        <v>0.83195412213048314</v>
      </c>
      <c r="D179">
        <f t="shared" si="25"/>
        <v>0.55484442744799845</v>
      </c>
      <c r="E179">
        <f t="shared" si="26"/>
        <v>0.60459911486237405</v>
      </c>
      <c r="F179">
        <f t="shared" si="24"/>
        <v>180194638418117.72</v>
      </c>
    </row>
    <row r="180" spans="1:6" x14ac:dyDescent="0.2">
      <c r="A180">
        <f t="shared" si="27"/>
        <v>33.899999999999949</v>
      </c>
      <c r="B180">
        <f t="shared" si="22"/>
        <v>0.59166661642607676</v>
      </c>
      <c r="C180">
        <f t="shared" si="23"/>
        <v>0.83001228509536795</v>
      </c>
      <c r="D180">
        <f t="shared" si="25"/>
        <v>0.55774510897968932</v>
      </c>
      <c r="E180">
        <f t="shared" si="26"/>
        <v>0.60737583972328579</v>
      </c>
      <c r="F180">
        <f t="shared" si="24"/>
        <v>209514361550201.53</v>
      </c>
    </row>
    <row r="181" spans="1:6" x14ac:dyDescent="0.2">
      <c r="A181">
        <f t="shared" si="27"/>
        <v>34.099999999999952</v>
      </c>
      <c r="B181">
        <f t="shared" si="22"/>
        <v>0.59515727493006554</v>
      </c>
      <c r="C181">
        <f t="shared" si="23"/>
        <v>0.82806033462249484</v>
      </c>
      <c r="D181">
        <f t="shared" si="25"/>
        <v>0.56063899456324107</v>
      </c>
      <c r="E181">
        <f t="shared" si="26"/>
        <v>0.61014516390126694</v>
      </c>
      <c r="F181">
        <f t="shared" si="24"/>
        <v>243506877389950.31</v>
      </c>
    </row>
    <row r="182" spans="1:6" x14ac:dyDescent="0.2">
      <c r="A182">
        <f t="shared" si="27"/>
        <v>34.299999999999955</v>
      </c>
      <c r="B182">
        <f t="shared" si="22"/>
        <v>0.5986479334340542</v>
      </c>
      <c r="C182">
        <f t="shared" si="23"/>
        <v>0.82609829449576433</v>
      </c>
      <c r="D182">
        <f t="shared" si="25"/>
        <v>0.56352604893757074</v>
      </c>
      <c r="E182">
        <f t="shared" si="26"/>
        <v>0.61290705365297582</v>
      </c>
      <c r="F182">
        <f t="shared" si="24"/>
        <v>282900275345342.38</v>
      </c>
    </row>
    <row r="183" spans="1:6" x14ac:dyDescent="0.2">
      <c r="A183">
        <f t="shared" si="27"/>
        <v>34.499999999999957</v>
      </c>
      <c r="B183">
        <f t="shared" si="22"/>
        <v>0.60213859193804287</v>
      </c>
      <c r="C183">
        <f t="shared" si="23"/>
        <v>0.82412618862201614</v>
      </c>
      <c r="D183">
        <f t="shared" si="25"/>
        <v>0.56640623692483216</v>
      </c>
      <c r="E183">
        <f t="shared" si="26"/>
        <v>0.61566147532565763</v>
      </c>
      <c r="F183">
        <f t="shared" si="24"/>
        <v>328533318254427.81</v>
      </c>
    </row>
    <row r="184" spans="1:6" x14ac:dyDescent="0.2">
      <c r="A184">
        <f t="shared" si="27"/>
        <v>34.69999999999996</v>
      </c>
      <c r="B184">
        <f t="shared" si="22"/>
        <v>0.60562925044203164</v>
      </c>
      <c r="C184">
        <f t="shared" si="23"/>
        <v>0.8221440410307379</v>
      </c>
      <c r="D184">
        <f t="shared" si="25"/>
        <v>0.56927952343084365</v>
      </c>
      <c r="E184">
        <f t="shared" si="26"/>
        <v>0.61840839535755365</v>
      </c>
      <c r="F184">
        <f t="shared" si="24"/>
        <v>381371811976320.62</v>
      </c>
    </row>
    <row r="185" spans="1:6" x14ac:dyDescent="0.2">
      <c r="A185">
        <f t="shared" si="27"/>
        <v>34.899999999999963</v>
      </c>
      <c r="B185">
        <f t="shared" si="22"/>
        <v>0.60911990894602031</v>
      </c>
      <c r="C185">
        <f t="shared" si="23"/>
        <v>0.82015187587377258</v>
      </c>
      <c r="D185">
        <f t="shared" si="25"/>
        <v>0.5721458734455156</v>
      </c>
      <c r="E185">
        <f t="shared" si="26"/>
        <v>0.62114778027830975</v>
      </c>
      <c r="F185">
        <f t="shared" si="24"/>
        <v>442527323657715</v>
      </c>
    </row>
    <row r="186" spans="1:6" x14ac:dyDescent="0.2">
      <c r="A186">
        <f t="shared" si="27"/>
        <v>35.099999999999966</v>
      </c>
      <c r="B186">
        <f t="shared" si="22"/>
        <v>0.61261056745000908</v>
      </c>
      <c r="C186">
        <f t="shared" si="23"/>
        <v>0.81814971742502374</v>
      </c>
      <c r="D186">
        <f t="shared" si="25"/>
        <v>0.57500525204327813</v>
      </c>
      <c r="E186">
        <f t="shared" si="26"/>
        <v>0.62387959670938575</v>
      </c>
      <c r="F186">
        <f t="shared" si="24"/>
        <v>513278574315793.25</v>
      </c>
    </row>
    <row r="187" spans="1:6" x14ac:dyDescent="0.2">
      <c r="A187">
        <f t="shared" si="27"/>
        <v>35.299999999999969</v>
      </c>
      <c r="B187">
        <f t="shared" si="22"/>
        <v>0.61610122595399774</v>
      </c>
      <c r="C187">
        <f t="shared" si="23"/>
        <v>0.81613759008016062</v>
      </c>
      <c r="D187">
        <f t="shared" si="25"/>
        <v>0.57785762438350485</v>
      </c>
      <c r="E187">
        <f t="shared" si="26"/>
        <v>0.62660381136446008</v>
      </c>
      <c r="F187">
        <f t="shared" si="24"/>
        <v>595095874797078.62</v>
      </c>
    </row>
    <row r="188" spans="1:6" x14ac:dyDescent="0.2">
      <c r="A188">
        <f t="shared" si="27"/>
        <v>35.499999999999972</v>
      </c>
      <c r="B188">
        <f t="shared" si="22"/>
        <v>0.61959188445798641</v>
      </c>
      <c r="C188">
        <f t="shared" si="23"/>
        <v>0.81411551835631957</v>
      </c>
      <c r="D188">
        <f t="shared" si="25"/>
        <v>0.58070295571093933</v>
      </c>
      <c r="E188">
        <f t="shared" si="26"/>
        <v>0.62932039104983706</v>
      </c>
      <c r="F188">
        <f t="shared" si="24"/>
        <v>689669023122946.62</v>
      </c>
    </row>
    <row r="189" spans="1:6" x14ac:dyDescent="0.2">
      <c r="A189">
        <f t="shared" si="27"/>
        <v>35.699999999999974</v>
      </c>
      <c r="B189">
        <f t="shared" si="22"/>
        <v>0.62308254296197518</v>
      </c>
      <c r="C189">
        <f t="shared" si="23"/>
        <v>0.81208352689180652</v>
      </c>
      <c r="D189">
        <f t="shared" si="25"/>
        <v>0.58354121135611714</v>
      </c>
      <c r="E189">
        <f t="shared" si="26"/>
        <v>0.63202930266485047</v>
      </c>
      <c r="F189">
        <f t="shared" si="24"/>
        <v>798939136382248.12</v>
      </c>
    </row>
    <row r="190" spans="1:6" x14ac:dyDescent="0.2">
      <c r="A190">
        <f t="shared" si="27"/>
        <v>35.899999999999977</v>
      </c>
      <c r="B190">
        <f t="shared" si="22"/>
        <v>0.62657320146596385</v>
      </c>
      <c r="C190">
        <f t="shared" si="23"/>
        <v>0.8100416404457963</v>
      </c>
      <c r="D190">
        <f t="shared" si="25"/>
        <v>0.58637235673578891</v>
      </c>
      <c r="E190">
        <f t="shared" si="26"/>
        <v>0.63473051320226725</v>
      </c>
      <c r="F190">
        <f t="shared" si="24"/>
        <v>925134952424585.12</v>
      </c>
    </row>
    <row r="191" spans="1:6" x14ac:dyDescent="0.2">
      <c r="A191">
        <f t="shared" si="27"/>
        <v>36.09999999999998</v>
      </c>
      <c r="B191">
        <f t="shared" si="22"/>
        <v>0.63006385996995262</v>
      </c>
      <c r="C191">
        <f t="shared" si="23"/>
        <v>0.80798988389803073</v>
      </c>
      <c r="D191">
        <f t="shared" si="25"/>
        <v>0.58919635735334175</v>
      </c>
      <c r="E191">
        <f t="shared" si="26"/>
        <v>0.63742398974868941</v>
      </c>
      <c r="F191">
        <f t="shared" si="24"/>
        <v>1070814206468578.4</v>
      </c>
    </row>
    <row r="192" spans="1:6" x14ac:dyDescent="0.2">
      <c r="A192">
        <f t="shared" si="27"/>
        <v>36.299999999999983</v>
      </c>
      <c r="B192">
        <f t="shared" si="22"/>
        <v>0.63355451847394129</v>
      </c>
      <c r="C192">
        <f t="shared" si="23"/>
        <v>0.80592828224851598</v>
      </c>
      <c r="D192">
        <f t="shared" si="25"/>
        <v>0.59201317879921922</v>
      </c>
      <c r="E192">
        <f t="shared" si="26"/>
        <v>0.64010969948495511</v>
      </c>
      <c r="F192">
        <f t="shared" si="24"/>
        <v>1238910766286890.5</v>
      </c>
    </row>
    <row r="193" spans="1:6" x14ac:dyDescent="0.2">
      <c r="A193">
        <f t="shared" si="27"/>
        <v>36.499999999999986</v>
      </c>
      <c r="B193">
        <f t="shared" si="22"/>
        <v>0.63704517697792995</v>
      </c>
      <c r="C193">
        <f t="shared" si="23"/>
        <v>0.80385686061721751</v>
      </c>
      <c r="D193">
        <f t="shared" si="25"/>
        <v>0.59482278675134104</v>
      </c>
      <c r="E193">
        <f t="shared" si="26"/>
        <v>0.64278760968653903</v>
      </c>
      <c r="F193">
        <f t="shared" si="24"/>
        <v>1432788297881739.8</v>
      </c>
    </row>
    <row r="194" spans="1:6" x14ac:dyDescent="0.2">
      <c r="A194">
        <f t="shared" si="27"/>
        <v>36.699999999999989</v>
      </c>
      <c r="B194">
        <f t="shared" si="22"/>
        <v>0.64053583548191872</v>
      </c>
      <c r="C194">
        <f t="shared" si="23"/>
        <v>0.80177564424375414</v>
      </c>
      <c r="D194">
        <f t="shared" si="25"/>
        <v>0.59762514697552094</v>
      </c>
      <c r="E194">
        <f t="shared" si="26"/>
        <v>0.6454576877239504</v>
      </c>
      <c r="F194">
        <f t="shared" si="24"/>
        <v>1656301332650556.5</v>
      </c>
    </row>
    <row r="195" spans="1:6" x14ac:dyDescent="0.2">
      <c r="A195">
        <f t="shared" si="27"/>
        <v>36.899999999999991</v>
      </c>
      <c r="B195">
        <f t="shared" si="22"/>
        <v>0.64402649398590739</v>
      </c>
      <c r="C195">
        <f t="shared" si="23"/>
        <v>0.79968465848709069</v>
      </c>
      <c r="D195">
        <f t="shared" si="25"/>
        <v>0.60042022532588391</v>
      </c>
      <c r="E195">
        <f t="shared" si="26"/>
        <v>0.64811990106313067</v>
      </c>
      <c r="F195">
        <f t="shared" si="24"/>
        <v>1913864718213628.2</v>
      </c>
    </row>
    <row r="196" spans="1:6" x14ac:dyDescent="0.2">
      <c r="A196">
        <f t="shared" si="27"/>
        <v>37.099999999999994</v>
      </c>
      <c r="B196">
        <f t="shared" si="22"/>
        <v>0.64751715248989616</v>
      </c>
      <c r="C196">
        <f t="shared" si="23"/>
        <v>0.79758392882522855</v>
      </c>
      <c r="D196">
        <f t="shared" si="25"/>
        <v>0.60320798774528239</v>
      </c>
      <c r="E196">
        <f t="shared" si="26"/>
        <v>0.65077421726585094</v>
      </c>
      <c r="F196">
        <f t="shared" si="24"/>
        <v>2210532559718732.8</v>
      </c>
    </row>
    <row r="197" spans="1:6" x14ac:dyDescent="0.2">
      <c r="A197">
        <f t="shared" si="27"/>
        <v>37.299999999999997</v>
      </c>
      <c r="B197">
        <f t="shared" si="22"/>
        <v>0.65100781099388483</v>
      </c>
      <c r="C197">
        <f t="shared" si="23"/>
        <v>0.79547348085489589</v>
      </c>
      <c r="D197">
        <f t="shared" si="25"/>
        <v>0.60598840026571099</v>
      </c>
      <c r="E197">
        <f t="shared" si="26"/>
        <v>0.65342060399010538</v>
      </c>
      <c r="F197">
        <f t="shared" si="24"/>
        <v>2552087898082087.5</v>
      </c>
    </row>
    <row r="198" spans="1:6" x14ac:dyDescent="0.2">
      <c r="A198">
        <f t="shared" si="27"/>
        <v>37.5</v>
      </c>
      <c r="B198">
        <f t="shared" si="22"/>
        <v>0.6544984694978736</v>
      </c>
      <c r="C198">
        <f t="shared" si="23"/>
        <v>0.79335334029123517</v>
      </c>
      <c r="D198">
        <f t="shared" si="25"/>
        <v>0.60876142900872066</v>
      </c>
      <c r="E198">
        <f t="shared" si="26"/>
        <v>0.65605902899050728</v>
      </c>
      <c r="F198">
        <f t="shared" si="24"/>
        <v>2945144527968284</v>
      </c>
    </row>
    <row r="199" spans="1:6" x14ac:dyDescent="0.2">
      <c r="A199">
        <f t="shared" si="27"/>
        <v>37.700000000000003</v>
      </c>
      <c r="B199">
        <f t="shared" si="22"/>
        <v>0.65798912800186227</v>
      </c>
      <c r="C199">
        <f t="shared" si="23"/>
        <v>0.79122353296749004</v>
      </c>
      <c r="D199">
        <f t="shared" si="25"/>
        <v>0.61152704018583115</v>
      </c>
      <c r="E199">
        <f t="shared" si="26"/>
        <v>0.65868946011868046</v>
      </c>
      <c r="F199">
        <f t="shared" si="24"/>
        <v>3397262533214536</v>
      </c>
    </row>
    <row r="200" spans="1:6" x14ac:dyDescent="0.2">
      <c r="A200">
        <f t="shared" si="27"/>
        <v>37.900000000000006</v>
      </c>
      <c r="B200">
        <f t="shared" si="22"/>
        <v>0.66147978650585104</v>
      </c>
      <c r="C200">
        <f t="shared" si="23"/>
        <v>0.78908408483469061</v>
      </c>
      <c r="D200">
        <f t="shared" si="25"/>
        <v>0.61428520009894327</v>
      </c>
      <c r="E200">
        <f t="shared" si="26"/>
        <v>0.66131186532365194</v>
      </c>
      <c r="F200">
        <f t="shared" si="24"/>
        <v>3917079312934731</v>
      </c>
    </row>
    <row r="201" spans="1:6" x14ac:dyDescent="0.2">
      <c r="A201">
        <f t="shared" si="27"/>
        <v>38.100000000000009</v>
      </c>
      <c r="B201">
        <f t="shared" si="22"/>
        <v>0.66497044500983971</v>
      </c>
      <c r="C201">
        <f t="shared" si="23"/>
        <v>0.78693502196133724</v>
      </c>
      <c r="D201">
        <f t="shared" si="25"/>
        <v>0.61703587514074876</v>
      </c>
      <c r="E201">
        <f t="shared" si="26"/>
        <v>0.66392621265224161</v>
      </c>
      <c r="F201">
        <f t="shared" si="24"/>
        <v>4514458089959603</v>
      </c>
    </row>
    <row r="202" spans="1:6" x14ac:dyDescent="0.2">
      <c r="A202">
        <f t="shared" si="27"/>
        <v>38.300000000000011</v>
      </c>
      <c r="B202">
        <f t="shared" si="22"/>
        <v>0.66846110351382848</v>
      </c>
      <c r="C202">
        <f t="shared" si="23"/>
        <v>0.7847763705330828</v>
      </c>
      <c r="D202">
        <f t="shared" si="25"/>
        <v>0.61977903179514038</v>
      </c>
      <c r="E202">
        <f t="shared" si="26"/>
        <v>0.66653247024945261</v>
      </c>
      <c r="F202">
        <f t="shared" si="24"/>
        <v>5200656137082835</v>
      </c>
    </row>
    <row r="203" spans="1:6" x14ac:dyDescent="0.2">
      <c r="A203">
        <f t="shared" si="27"/>
        <v>38.500000000000014</v>
      </c>
      <c r="B203">
        <f t="shared" ref="B203:B266" si="28">A203*PI()/180</f>
        <v>0.67195176201781714</v>
      </c>
      <c r="C203">
        <f t="shared" ref="C203:C266" si="29">COS(B203)</f>
        <v>0.78260815685241381</v>
      </c>
      <c r="D203">
        <f t="shared" si="25"/>
        <v>0.62251463663761974</v>
      </c>
      <c r="E203">
        <f t="shared" si="26"/>
        <v>0.66913060635885846</v>
      </c>
      <c r="F203">
        <f t="shared" ref="F203:F266" si="30">EXP(E203*$C$5*$C$6^2/($C$3*$C$2))</f>
        <v>5988515228531769</v>
      </c>
    </row>
    <row r="204" spans="1:6" x14ac:dyDescent="0.2">
      <c r="A204">
        <f t="shared" si="27"/>
        <v>38.700000000000017</v>
      </c>
      <c r="B204">
        <f t="shared" si="28"/>
        <v>0.67544242052180581</v>
      </c>
      <c r="C204">
        <f t="shared" si="29"/>
        <v>0.78043040733832958</v>
      </c>
      <c r="D204">
        <f t="shared" si="25"/>
        <v>0.62524265633570542</v>
      </c>
      <c r="E204">
        <f t="shared" si="26"/>
        <v>0.67172058932299039</v>
      </c>
      <c r="F204">
        <f t="shared" si="30"/>
        <v>6892677127184099</v>
      </c>
    </row>
    <row r="205" spans="1:6" x14ac:dyDescent="0.2">
      <c r="A205">
        <f t="shared" si="27"/>
        <v>38.90000000000002</v>
      </c>
      <c r="B205">
        <f t="shared" si="28"/>
        <v>0.67893307902579458</v>
      </c>
      <c r="C205">
        <f t="shared" si="29"/>
        <v>0.77824314852602072</v>
      </c>
      <c r="D205">
        <f t="shared" si="25"/>
        <v>0.62796305764933824</v>
      </c>
      <c r="E205">
        <f t="shared" si="26"/>
        <v>0.67430238758372374</v>
      </c>
      <c r="F205">
        <f t="shared" si="30"/>
        <v>7929827255615408</v>
      </c>
    </row>
    <row r="206" spans="1:6" x14ac:dyDescent="0.2">
      <c r="A206">
        <f t="shared" si="27"/>
        <v>39.100000000000023</v>
      </c>
      <c r="B206">
        <f t="shared" si="28"/>
        <v>0.68242373752978325</v>
      </c>
      <c r="C206">
        <f t="shared" si="29"/>
        <v>0.77604640706654571</v>
      </c>
      <c r="D206">
        <f t="shared" si="25"/>
        <v>0.63067580743128648</v>
      </c>
      <c r="E206">
        <f t="shared" si="26"/>
        <v>0.67687596968266095</v>
      </c>
      <c r="F206">
        <f t="shared" si="30"/>
        <v>9118970074711760</v>
      </c>
    </row>
    <row r="207" spans="1:6" x14ac:dyDescent="0.2">
      <c r="A207">
        <f t="shared" si="27"/>
        <v>39.300000000000026</v>
      </c>
      <c r="B207">
        <f t="shared" si="28"/>
        <v>0.68591439603377202</v>
      </c>
      <c r="C207">
        <f t="shared" si="29"/>
        <v>0.77384020972650591</v>
      </c>
      <c r="D207">
        <f t="shared" si="25"/>
        <v>0.63338087262755061</v>
      </c>
      <c r="E207">
        <f t="shared" si="26"/>
        <v>0.67944130426151683</v>
      </c>
      <c r="F207">
        <f t="shared" si="30"/>
        <v>1.0481740111293056E+16</v>
      </c>
    </row>
    <row r="208" spans="1:6" x14ac:dyDescent="0.2">
      <c r="A208">
        <f t="shared" si="27"/>
        <v>39.500000000000028</v>
      </c>
      <c r="B208">
        <f t="shared" si="28"/>
        <v>0.68940505453776069</v>
      </c>
      <c r="C208">
        <f t="shared" si="29"/>
        <v>0.77162458338771966</v>
      </c>
      <c r="D208">
        <f t="shared" si="25"/>
        <v>0.63607822027776439</v>
      </c>
      <c r="E208">
        <f t="shared" si="26"/>
        <v>0.68199836006249881</v>
      </c>
      <c r="F208">
        <f t="shared" si="30"/>
        <v>1.204275304029556E+16</v>
      </c>
    </row>
    <row r="209" spans="1:6" x14ac:dyDescent="0.2">
      <c r="A209">
        <f t="shared" si="27"/>
        <v>39.700000000000031</v>
      </c>
      <c r="B209">
        <f t="shared" si="28"/>
        <v>0.69289571304174935</v>
      </c>
      <c r="C209">
        <f t="shared" si="29"/>
        <v>0.76939955504689472</v>
      </c>
      <c r="D209">
        <f t="shared" si="25"/>
        <v>0.63876781751559808</v>
      </c>
      <c r="E209">
        <f t="shared" si="26"/>
        <v>0.68454710592868906</v>
      </c>
      <c r="F209">
        <f t="shared" si="30"/>
        <v>1.3830001742312162E+16</v>
      </c>
    </row>
    <row r="210" spans="1:6" x14ac:dyDescent="0.2">
      <c r="A210">
        <f t="shared" si="27"/>
        <v>39.900000000000034</v>
      </c>
      <c r="B210">
        <f t="shared" si="28"/>
        <v>0.69638637154573813</v>
      </c>
      <c r="C210">
        <f t="shared" si="29"/>
        <v>0.76716515181529921</v>
      </c>
      <c r="D210">
        <f t="shared" si="25"/>
        <v>0.64144963156915835</v>
      </c>
      <c r="E210">
        <f t="shared" si="26"/>
        <v>0.68708751080442354</v>
      </c>
      <c r="F210">
        <f t="shared" si="30"/>
        <v>1.587530282885125E+16</v>
      </c>
    </row>
    <row r="211" spans="1:6" x14ac:dyDescent="0.2">
      <c r="A211">
        <f t="shared" si="27"/>
        <v>40.100000000000037</v>
      </c>
      <c r="B211">
        <f t="shared" si="28"/>
        <v>0.69987703004972679</v>
      </c>
      <c r="C211">
        <f t="shared" si="29"/>
        <v>0.76492140091843142</v>
      </c>
      <c r="D211">
        <f t="shared" si="25"/>
        <v>0.64412362976138704</v>
      </c>
      <c r="E211">
        <f t="shared" si="26"/>
        <v>0.68961954373567025</v>
      </c>
      <c r="F211">
        <f t="shared" si="30"/>
        <v>1.8214799761184856E+16</v>
      </c>
    </row>
    <row r="212" spans="1:6" x14ac:dyDescent="0.2">
      <c r="A212">
        <f t="shared" si="27"/>
        <v>40.30000000000004</v>
      </c>
      <c r="B212">
        <f t="shared" si="28"/>
        <v>0.70336768855371545</v>
      </c>
      <c r="C212">
        <f t="shared" si="29"/>
        <v>0.76266832969568787</v>
      </c>
      <c r="D212">
        <f t="shared" si="25"/>
        <v>0.64678977951046002</v>
      </c>
      <c r="E212">
        <f t="shared" si="26"/>
        <v>0.69214317387040714</v>
      </c>
      <c r="F212">
        <f t="shared" si="30"/>
        <v>2.0889529390273068E+16</v>
      </c>
    </row>
    <row r="213" spans="1:6" x14ac:dyDescent="0.2">
      <c r="A213">
        <f t="shared" si="27"/>
        <v>40.500000000000043</v>
      </c>
      <c r="B213">
        <f t="shared" si="28"/>
        <v>0.70685834705770423</v>
      </c>
      <c r="C213">
        <f t="shared" si="29"/>
        <v>0.76040596560003049</v>
      </c>
      <c r="D213">
        <f t="shared" ref="D213:D276" si="31">SIN(B213)</f>
        <v>0.64944804833018421</v>
      </c>
      <c r="E213">
        <f t="shared" ref="E213:E276" si="32">C213*$E$7+D213*$F$7</f>
        <v>0.69465837045899781</v>
      </c>
      <c r="F213">
        <f t="shared" si="30"/>
        <v>2.3946059521610048E+16</v>
      </c>
    </row>
    <row r="214" spans="1:6" x14ac:dyDescent="0.2">
      <c r="A214">
        <f t="shared" si="27"/>
        <v>40.700000000000045</v>
      </c>
      <c r="B214">
        <f t="shared" si="28"/>
        <v>0.71034900556169289</v>
      </c>
      <c r="C214">
        <f t="shared" si="29"/>
        <v>0.75813433619765169</v>
      </c>
      <c r="D214">
        <f t="shared" si="31"/>
        <v>0.65209840383039275</v>
      </c>
      <c r="E214">
        <f t="shared" si="32"/>
        <v>0.69716510285456501</v>
      </c>
      <c r="F214">
        <f t="shared" si="30"/>
        <v>2.7437205967221088E+16</v>
      </c>
    </row>
    <row r="215" spans="1:6" x14ac:dyDescent="0.2">
      <c r="A215">
        <f t="shared" si="27"/>
        <v>40.900000000000048</v>
      </c>
      <c r="B215">
        <f t="shared" si="28"/>
        <v>0.71383966406568156</v>
      </c>
      <c r="C215">
        <f t="shared" si="29"/>
        <v>0.75585346916763907</v>
      </c>
      <c r="D215">
        <f t="shared" si="31"/>
        <v>0.65474081371734028</v>
      </c>
      <c r="E215">
        <f t="shared" si="32"/>
        <v>0.69966334051336598</v>
      </c>
      <c r="F215">
        <f t="shared" si="30"/>
        <v>3.1422838495294556E+16</v>
      </c>
    </row>
    <row r="216" spans="1:6" x14ac:dyDescent="0.2">
      <c r="A216">
        <f t="shared" si="27"/>
        <v>41.100000000000051</v>
      </c>
      <c r="B216">
        <f t="shared" si="28"/>
        <v>0.71733032256967022</v>
      </c>
      <c r="C216">
        <f t="shared" si="29"/>
        <v>0.75356339230163738</v>
      </c>
      <c r="D216">
        <f t="shared" si="31"/>
        <v>0.65737524579409634</v>
      </c>
      <c r="E216">
        <f t="shared" si="32"/>
        <v>0.70215305299516295</v>
      </c>
      <c r="F216">
        <f t="shared" si="30"/>
        <v>3.5970786134533684E+16</v>
      </c>
    </row>
    <row r="217" spans="1:6" x14ac:dyDescent="0.2">
      <c r="A217">
        <f t="shared" si="27"/>
        <v>41.300000000000054</v>
      </c>
      <c r="B217">
        <f t="shared" si="28"/>
        <v>0.72082098107365911</v>
      </c>
      <c r="C217">
        <f t="shared" si="29"/>
        <v>0.75126413350351051</v>
      </c>
      <c r="D217">
        <f t="shared" si="31"/>
        <v>0.66000166796093751</v>
      </c>
      <c r="E217">
        <f t="shared" si="32"/>
        <v>0.70463420996359538</v>
      </c>
      <c r="F217">
        <f t="shared" si="30"/>
        <v>4.115785344454472E+16</v>
      </c>
    </row>
    <row r="218" spans="1:6" x14ac:dyDescent="0.2">
      <c r="A218">
        <f t="shared" si="27"/>
        <v>41.500000000000057</v>
      </c>
      <c r="B218">
        <f t="shared" si="28"/>
        <v>0.72431163957764777</v>
      </c>
      <c r="C218">
        <f t="shared" si="29"/>
        <v>0.74895572078900141</v>
      </c>
      <c r="D218">
        <f t="shared" si="31"/>
        <v>0.66262004821573828</v>
      </c>
      <c r="E218">
        <f t="shared" si="32"/>
        <v>0.70710678118654824</v>
      </c>
      <c r="F218">
        <f t="shared" si="30"/>
        <v>4.7070960635284984E+16</v>
      </c>
    </row>
    <row r="219" spans="1:6" x14ac:dyDescent="0.2">
      <c r="A219">
        <f t="shared" si="27"/>
        <v>41.70000000000006</v>
      </c>
      <c r="B219">
        <f t="shared" si="28"/>
        <v>0.72780229808163643</v>
      </c>
      <c r="C219">
        <f t="shared" si="29"/>
        <v>0.74663818228539069</v>
      </c>
      <c r="D219">
        <f t="shared" si="31"/>
        <v>0.66523035465436164</v>
      </c>
      <c r="E219">
        <f t="shared" si="32"/>
        <v>0.70957073653652158</v>
      </c>
      <c r="F219">
        <f t="shared" si="30"/>
        <v>5.3808421818582472E+16</v>
      </c>
    </row>
    <row r="220" spans="1:6" x14ac:dyDescent="0.2">
      <c r="A220">
        <f t="shared" si="27"/>
        <v>41.900000000000063</v>
      </c>
      <c r="B220">
        <f t="shared" si="28"/>
        <v>0.7312929565856251</v>
      </c>
      <c r="C220">
        <f t="shared" si="29"/>
        <v>0.74431154623115336</v>
      </c>
      <c r="D220">
        <f t="shared" si="31"/>
        <v>0.66783255547104736</v>
      </c>
      <c r="E220">
        <f t="shared" si="32"/>
        <v>0.71202604599099717</v>
      </c>
      <c r="F220">
        <f t="shared" si="30"/>
        <v>6.1481377214512128E+16</v>
      </c>
    </row>
    <row r="221" spans="1:6" x14ac:dyDescent="0.2">
      <c r="A221">
        <f t="shared" si="27"/>
        <v>42.100000000000065</v>
      </c>
      <c r="B221">
        <f t="shared" si="28"/>
        <v>0.73478361508961376</v>
      </c>
      <c r="C221">
        <f t="shared" si="29"/>
        <v>0.74197584097561575</v>
      </c>
      <c r="D221">
        <f t="shared" si="31"/>
        <v>0.67042661895879985</v>
      </c>
      <c r="E221">
        <f t="shared" si="32"/>
        <v>0.71447267963280403</v>
      </c>
      <c r="F221">
        <f t="shared" si="30"/>
        <v>7.0215396827397512E+16</v>
      </c>
    </row>
    <row r="222" spans="1:6" x14ac:dyDescent="0.2">
      <c r="A222">
        <f t="shared" si="27"/>
        <v>42.300000000000068</v>
      </c>
      <c r="B222">
        <f t="shared" si="28"/>
        <v>0.73827427359360265</v>
      </c>
      <c r="C222">
        <f t="shared" si="29"/>
        <v>0.73963109497860891</v>
      </c>
      <c r="D222">
        <f t="shared" si="31"/>
        <v>0.67301251350977431</v>
      </c>
      <c r="E222">
        <f t="shared" si="32"/>
        <v>0.71691060765048364</v>
      </c>
      <c r="F222">
        <f t="shared" si="30"/>
        <v>8.0152274963788656E+16</v>
      </c>
    </row>
    <row r="223" spans="1:6" x14ac:dyDescent="0.2">
      <c r="A223">
        <f t="shared" si="27"/>
        <v>42.500000000000071</v>
      </c>
      <c r="B223">
        <f t="shared" si="28"/>
        <v>0.74176493209759131</v>
      </c>
      <c r="C223">
        <f t="shared" si="29"/>
        <v>0.7372773368101232</v>
      </c>
      <c r="D223">
        <f t="shared" si="31"/>
        <v>0.67559020761566113</v>
      </c>
      <c r="E223">
        <f t="shared" si="32"/>
        <v>0.71933980033865197</v>
      </c>
      <c r="F223">
        <f t="shared" si="30"/>
        <v>9.1452037002162064E+16</v>
      </c>
    </row>
    <row r="224" spans="1:6" x14ac:dyDescent="0.2">
      <c r="A224">
        <f t="shared" si="27"/>
        <v>42.700000000000074</v>
      </c>
      <c r="B224">
        <f t="shared" si="28"/>
        <v>0.74525559060157998</v>
      </c>
      <c r="C224">
        <f t="shared" si="29"/>
        <v>0.73491459514995905</v>
      </c>
      <c r="D224">
        <f t="shared" si="31"/>
        <v>0.67815966986807152</v>
      </c>
      <c r="E224">
        <f t="shared" si="32"/>
        <v>0.72176022809836304</v>
      </c>
      <c r="F224">
        <f t="shared" si="30"/>
        <v>1.0429518205669968E+17</v>
      </c>
    </row>
    <row r="225" spans="1:6" x14ac:dyDescent="0.2">
      <c r="A225">
        <f t="shared" si="27"/>
        <v>42.900000000000077</v>
      </c>
      <c r="B225">
        <f t="shared" si="28"/>
        <v>0.74874624910556864</v>
      </c>
      <c r="C225">
        <f t="shared" si="29"/>
        <v>0.73254289878737788</v>
      </c>
      <c r="D225">
        <f t="shared" si="31"/>
        <v>0.6807208689589187</v>
      </c>
      <c r="E225">
        <f t="shared" si="32"/>
        <v>0.72417186143746837</v>
      </c>
      <c r="F225">
        <f t="shared" si="30"/>
        <v>1.1888518762162637E+17</v>
      </c>
    </row>
    <row r="226" spans="1:6" x14ac:dyDescent="0.2">
      <c r="A226">
        <f t="shared" si="27"/>
        <v>43.10000000000008</v>
      </c>
      <c r="B226">
        <f t="shared" si="28"/>
        <v>0.7522369076095573</v>
      </c>
      <c r="C226">
        <f t="shared" si="29"/>
        <v>0.7301622766207515</v>
      </c>
      <c r="D226">
        <f t="shared" si="31"/>
        <v>0.68327377368080011</v>
      </c>
      <c r="E226">
        <f t="shared" si="32"/>
        <v>0.72657467097097683</v>
      </c>
      <c r="F226">
        <f t="shared" si="30"/>
        <v>1.3545130495571386E+17</v>
      </c>
    </row>
    <row r="227" spans="1:6" x14ac:dyDescent="0.2">
      <c r="A227">
        <f t="shared" si="27"/>
        <v>43.300000000000082</v>
      </c>
      <c r="B227">
        <f t="shared" si="28"/>
        <v>0.75572756611354619</v>
      </c>
      <c r="C227">
        <f t="shared" si="29"/>
        <v>0.7277727576572095</v>
      </c>
      <c r="D227">
        <f t="shared" si="31"/>
        <v>0.68581835292737736</v>
      </c>
      <c r="E227">
        <f t="shared" si="32"/>
        <v>0.72896862742141255</v>
      </c>
      <c r="F227">
        <f t="shared" si="30"/>
        <v>1.542516768872703E+17</v>
      </c>
    </row>
    <row r="228" spans="1:6" x14ac:dyDescent="0.2">
      <c r="A228">
        <f t="shared" si="27"/>
        <v>43.500000000000085</v>
      </c>
      <c r="B228">
        <f t="shared" si="28"/>
        <v>0.75921822461753485</v>
      </c>
      <c r="C228">
        <f t="shared" si="29"/>
        <v>0.72537437101228663</v>
      </c>
      <c r="D228">
        <f t="shared" si="31"/>
        <v>0.68835457569375502</v>
      </c>
      <c r="E228">
        <f t="shared" si="32"/>
        <v>0.73135370161917135</v>
      </c>
      <c r="F228">
        <f t="shared" si="30"/>
        <v>1.7557681290793018E+17</v>
      </c>
    </row>
    <row r="229" spans="1:6" x14ac:dyDescent="0.2">
      <c r="A229">
        <f t="shared" si="27"/>
        <v>43.700000000000088</v>
      </c>
      <c r="B229">
        <f t="shared" si="28"/>
        <v>0.76270888312152352</v>
      </c>
      <c r="C229">
        <f t="shared" si="29"/>
        <v>0.72296714590956712</v>
      </c>
      <c r="D229">
        <f t="shared" si="31"/>
        <v>0.69088241107685944</v>
      </c>
      <c r="E229">
        <f t="shared" si="32"/>
        <v>0.73372986450287736</v>
      </c>
      <c r="F229">
        <f t="shared" si="30"/>
        <v>1.9975345989997907E+17</v>
      </c>
    </row>
    <row r="230" spans="1:6" x14ac:dyDescent="0.2">
      <c r="A230">
        <f t="shared" si="27"/>
        <v>43.900000000000091</v>
      </c>
      <c r="B230">
        <f t="shared" si="28"/>
        <v>0.76619954162551218</v>
      </c>
      <c r="C230">
        <f t="shared" si="29"/>
        <v>0.72055111168032937</v>
      </c>
      <c r="D230">
        <f t="shared" si="31"/>
        <v>0.69340182827581409</v>
      </c>
      <c r="E230">
        <f t="shared" si="32"/>
        <v>0.73609708711973543</v>
      </c>
      <c r="F230">
        <f t="shared" si="30"/>
        <v>2.2714891062864813E+17</v>
      </c>
    </row>
    <row r="231" spans="1:6" x14ac:dyDescent="0.2">
      <c r="A231">
        <f t="shared" si="27"/>
        <v>44.100000000000094</v>
      </c>
      <c r="B231">
        <f t="shared" si="28"/>
        <v>0.76969020012950096</v>
      </c>
      <c r="C231">
        <f t="shared" si="29"/>
        <v>0.7181262977631877</v>
      </c>
      <c r="D231">
        <f t="shared" si="31"/>
        <v>0.69591279659231542</v>
      </c>
      <c r="E231">
        <f t="shared" si="32"/>
        <v>0.7384553406258848</v>
      </c>
      <c r="F231">
        <f t="shared" si="30"/>
        <v>2.581757962517144E+17</v>
      </c>
    </row>
    <row r="232" spans="1:6" x14ac:dyDescent="0.2">
      <c r="A232">
        <f t="shared" si="27"/>
        <v>44.300000000000097</v>
      </c>
      <c r="B232">
        <f t="shared" si="28"/>
        <v>0.77318085863348962</v>
      </c>
      <c r="C232">
        <f t="shared" si="29"/>
        <v>0.71569273370373476</v>
      </c>
      <c r="D232">
        <f t="shared" si="31"/>
        <v>0.69841528543100706</v>
      </c>
      <c r="E232">
        <f t="shared" si="32"/>
        <v>0.7408045962867511</v>
      </c>
      <c r="F232">
        <f t="shared" si="30"/>
        <v>2.9329741357805043E+17</v>
      </c>
    </row>
    <row r="233" spans="1:6" x14ac:dyDescent="0.2">
      <c r="A233">
        <f t="shared" si="27"/>
        <v>44.500000000000099</v>
      </c>
      <c r="B233">
        <f t="shared" si="28"/>
        <v>0.7766715171374784</v>
      </c>
      <c r="C233">
        <f t="shared" si="29"/>
        <v>0.71325044915418034</v>
      </c>
      <c r="D233">
        <f t="shared" si="31"/>
        <v>0.70090926429985212</v>
      </c>
      <c r="E233">
        <f t="shared" si="32"/>
        <v>0.74314482547739535</v>
      </c>
      <c r="F233">
        <f t="shared" si="30"/>
        <v>3.3303364267080941E+17</v>
      </c>
    </row>
    <row r="234" spans="1:6" x14ac:dyDescent="0.2">
      <c r="A234">
        <f t="shared" ref="A234:A297" si="33">A233+0.2</f>
        <v>44.700000000000102</v>
      </c>
      <c r="B234">
        <f t="shared" si="28"/>
        <v>0.78016217564146706</v>
      </c>
      <c r="C234">
        <f t="shared" si="29"/>
        <v>0.71079947387299125</v>
      </c>
      <c r="D234">
        <f t="shared" si="31"/>
        <v>0.70339470281050509</v>
      </c>
      <c r="E234">
        <f t="shared" si="32"/>
        <v>0.74547599968286327</v>
      </c>
      <c r="F234">
        <f t="shared" si="30"/>
        <v>3.7796751566701581E+17</v>
      </c>
    </row>
    <row r="235" spans="1:6" x14ac:dyDescent="0.2">
      <c r="A235">
        <f t="shared" si="33"/>
        <v>44.900000000000105</v>
      </c>
      <c r="B235">
        <f t="shared" si="28"/>
        <v>0.78365283414545572</v>
      </c>
      <c r="C235">
        <f t="shared" si="29"/>
        <v>0.70833983772452758</v>
      </c>
      <c r="D235">
        <f t="shared" si="31"/>
        <v>0.70587157067868223</v>
      </c>
      <c r="E235">
        <f t="shared" si="32"/>
        <v>0.74779809049853307</v>
      </c>
      <c r="F235">
        <f t="shared" si="30"/>
        <v>4.2875250340163558E+17</v>
      </c>
    </row>
    <row r="236" spans="1:6" x14ac:dyDescent="0.2">
      <c r="A236">
        <f t="shared" si="33"/>
        <v>45.100000000000108</v>
      </c>
      <c r="B236">
        <f t="shared" si="28"/>
        <v>0.7871434926494445</v>
      </c>
      <c r="C236">
        <f t="shared" si="29"/>
        <v>0.70587157067867967</v>
      </c>
      <c r="D236">
        <f t="shared" si="31"/>
        <v>0.70833983772453013</v>
      </c>
      <c r="E236">
        <f t="shared" si="32"/>
        <v>0.7501110696304607</v>
      </c>
      <c r="F236">
        <f t="shared" si="30"/>
        <v>4.861205926108935E+17</v>
      </c>
    </row>
    <row r="237" spans="1:6" x14ac:dyDescent="0.2">
      <c r="A237">
        <f t="shared" si="33"/>
        <v>45.300000000000111</v>
      </c>
      <c r="B237">
        <f t="shared" si="28"/>
        <v>0.79063415115343316</v>
      </c>
      <c r="C237">
        <f t="shared" si="29"/>
        <v>0.70339470281050254</v>
      </c>
      <c r="D237">
        <f t="shared" si="31"/>
        <v>0.71079947387299369</v>
      </c>
      <c r="E237">
        <f t="shared" si="32"/>
        <v>0.75241490889572549</v>
      </c>
      <c r="F237">
        <f t="shared" si="30"/>
        <v>5.5089123317760589E+17</v>
      </c>
    </row>
    <row r="238" spans="1:6" x14ac:dyDescent="0.2">
      <c r="A238">
        <f t="shared" si="33"/>
        <v>45.500000000000114</v>
      </c>
      <c r="B238">
        <f t="shared" si="28"/>
        <v>0.79412480965742194</v>
      </c>
      <c r="C238">
        <f t="shared" si="29"/>
        <v>0.70090926429984945</v>
      </c>
      <c r="D238">
        <f t="shared" si="31"/>
        <v>0.71325044915418301</v>
      </c>
      <c r="E238">
        <f t="shared" si="32"/>
        <v>0.75470958022277335</v>
      </c>
      <c r="F238">
        <f t="shared" si="30"/>
        <v>6.2398124210235469E+17</v>
      </c>
    </row>
    <row r="239" spans="1:6" x14ac:dyDescent="0.2">
      <c r="A239">
        <f t="shared" si="33"/>
        <v>45.700000000000117</v>
      </c>
      <c r="B239">
        <f t="shared" si="28"/>
        <v>0.7976154681614106</v>
      </c>
      <c r="C239">
        <f t="shared" si="29"/>
        <v>0.6984152854310044</v>
      </c>
      <c r="D239">
        <f t="shared" si="31"/>
        <v>0.71569273370373732</v>
      </c>
      <c r="E239">
        <f t="shared" si="32"/>
        <v>0.75699505565175773</v>
      </c>
      <c r="F239">
        <f t="shared" si="30"/>
        <v>7.0641575867251981E+17</v>
      </c>
    </row>
    <row r="240" spans="1:6" x14ac:dyDescent="0.2">
      <c r="A240">
        <f t="shared" si="33"/>
        <v>45.900000000000119</v>
      </c>
      <c r="B240">
        <f t="shared" si="28"/>
        <v>0.80110612666539938</v>
      </c>
      <c r="C240">
        <f t="shared" si="29"/>
        <v>0.69591279659231275</v>
      </c>
      <c r="D240">
        <f t="shared" si="31"/>
        <v>0.71812629776319026</v>
      </c>
      <c r="E240">
        <f t="shared" si="32"/>
        <v>0.75927130733488213</v>
      </c>
      <c r="F240">
        <f t="shared" si="30"/>
        <v>7.9934035368971366E+17</v>
      </c>
    </row>
    <row r="241" spans="1:6" x14ac:dyDescent="0.2">
      <c r="A241">
        <f t="shared" si="33"/>
        <v>46.100000000000122</v>
      </c>
      <c r="B241">
        <f t="shared" si="28"/>
        <v>0.80459678516938804</v>
      </c>
      <c r="C241">
        <f t="shared" si="29"/>
        <v>0.69340182827581143</v>
      </c>
      <c r="D241">
        <f t="shared" si="31"/>
        <v>0.72055111168033192</v>
      </c>
      <c r="E241">
        <f t="shared" si="32"/>
        <v>0.76153830753673812</v>
      </c>
      <c r="F241">
        <f t="shared" si="30"/>
        <v>9.0403440464096218E+17</v>
      </c>
    </row>
    <row r="242" spans="1:6" x14ac:dyDescent="0.2">
      <c r="A242">
        <f t="shared" si="33"/>
        <v>46.300000000000125</v>
      </c>
      <c r="B242">
        <f t="shared" si="28"/>
        <v>0.8080874436733767</v>
      </c>
      <c r="C242">
        <f t="shared" si="29"/>
        <v>0.69088241107685677</v>
      </c>
      <c r="D242">
        <f t="shared" si="31"/>
        <v>0.72296714590956968</v>
      </c>
      <c r="E242">
        <f t="shared" si="32"/>
        <v>0.76379602863464358</v>
      </c>
      <c r="F242">
        <f t="shared" si="30"/>
        <v>1.0219258583957535E+18</v>
      </c>
    </row>
    <row r="243" spans="1:6" x14ac:dyDescent="0.2">
      <c r="A243">
        <f t="shared" si="33"/>
        <v>46.500000000000128</v>
      </c>
      <c r="B243">
        <f t="shared" si="28"/>
        <v>0.81157810217736548</v>
      </c>
      <c r="C243">
        <f t="shared" si="29"/>
        <v>0.68835457569375236</v>
      </c>
      <c r="D243">
        <f t="shared" si="31"/>
        <v>0.72537437101228919</v>
      </c>
      <c r="E243">
        <f t="shared" si="32"/>
        <v>0.76604444311897946</v>
      </c>
      <c r="F243">
        <f t="shared" si="30"/>
        <v>1.154607513415968E+18</v>
      </c>
    </row>
    <row r="244" spans="1:6" x14ac:dyDescent="0.2">
      <c r="A244">
        <f t="shared" si="33"/>
        <v>46.700000000000131</v>
      </c>
      <c r="B244">
        <f t="shared" si="28"/>
        <v>0.81506876068135425</v>
      </c>
      <c r="C244">
        <f t="shared" si="29"/>
        <v>0.68581835292737447</v>
      </c>
      <c r="D244">
        <f t="shared" si="31"/>
        <v>0.72777275765721205</v>
      </c>
      <c r="E244">
        <f t="shared" si="32"/>
        <v>0.76828352359352481</v>
      </c>
      <c r="F244">
        <f t="shared" si="30"/>
        <v>1.3038549646161556E+18</v>
      </c>
    </row>
    <row r="245" spans="1:6" x14ac:dyDescent="0.2">
      <c r="A245">
        <f t="shared" si="33"/>
        <v>46.900000000000134</v>
      </c>
      <c r="B245">
        <f t="shared" si="28"/>
        <v>0.81855941918534292</v>
      </c>
      <c r="C245">
        <f t="shared" si="29"/>
        <v>0.68327377368079745</v>
      </c>
      <c r="D245">
        <f t="shared" si="31"/>
        <v>0.73016227662075395</v>
      </c>
      <c r="E245">
        <f t="shared" si="32"/>
        <v>0.7705132427757907</v>
      </c>
      <c r="F245">
        <f t="shared" si="30"/>
        <v>1.4716463659444457E+18</v>
      </c>
    </row>
    <row r="246" spans="1:6" x14ac:dyDescent="0.2">
      <c r="A246">
        <f t="shared" si="33"/>
        <v>47.100000000000136</v>
      </c>
      <c r="B246">
        <f t="shared" si="28"/>
        <v>0.82205007768933158</v>
      </c>
      <c r="C246">
        <f t="shared" si="29"/>
        <v>0.68072086895891604</v>
      </c>
      <c r="D246">
        <f t="shared" si="31"/>
        <v>0.73254289878738033</v>
      </c>
      <c r="E246">
        <f t="shared" si="32"/>
        <v>0.77273357349735239</v>
      </c>
      <c r="F246">
        <f t="shared" si="30"/>
        <v>1.6601841785069304E+18</v>
      </c>
    </row>
    <row r="247" spans="1:6" x14ac:dyDescent="0.2">
      <c r="A247">
        <f t="shared" si="33"/>
        <v>47.300000000000139</v>
      </c>
      <c r="B247">
        <f t="shared" si="28"/>
        <v>0.82554073619332025</v>
      </c>
      <c r="C247">
        <f t="shared" si="29"/>
        <v>0.67815966986806886</v>
      </c>
      <c r="D247">
        <f t="shared" si="31"/>
        <v>0.73491459514996149</v>
      </c>
      <c r="E247">
        <f t="shared" si="32"/>
        <v>0.77494448870418098</v>
      </c>
      <c r="F247">
        <f t="shared" si="30"/>
        <v>1.871919085667039E+18</v>
      </c>
    </row>
    <row r="248" spans="1:6" x14ac:dyDescent="0.2">
      <c r="A248">
        <f t="shared" si="33"/>
        <v>47.500000000000142</v>
      </c>
      <c r="B248">
        <f t="shared" si="28"/>
        <v>0.82903139469730902</v>
      </c>
      <c r="C248">
        <f t="shared" si="29"/>
        <v>0.67559020761565836</v>
      </c>
      <c r="D248">
        <f t="shared" si="31"/>
        <v>0.73727733681012575</v>
      </c>
      <c r="E248">
        <f t="shared" si="32"/>
        <v>0.77714596145697246</v>
      </c>
      <c r="F248">
        <f t="shared" si="30"/>
        <v>2.1095762710528876E+18</v>
      </c>
    </row>
    <row r="249" spans="1:6" x14ac:dyDescent="0.2">
      <c r="A249">
        <f t="shared" si="33"/>
        <v>47.700000000000145</v>
      </c>
      <c r="B249">
        <f t="shared" si="28"/>
        <v>0.8325220532012978</v>
      </c>
      <c r="C249">
        <f t="shared" si="29"/>
        <v>0.67301251350977143</v>
      </c>
      <c r="D249">
        <f t="shared" si="31"/>
        <v>0.73963109497861146</v>
      </c>
      <c r="E249">
        <f t="shared" si="32"/>
        <v>0.77933796493147567</v>
      </c>
      <c r="F249">
        <f t="shared" si="30"/>
        <v>2.376184270834858E+18</v>
      </c>
    </row>
    <row r="250" spans="1:6" x14ac:dyDescent="0.2">
      <c r="A250">
        <f t="shared" si="33"/>
        <v>47.900000000000148</v>
      </c>
      <c r="B250">
        <f t="shared" si="28"/>
        <v>0.83601271170528646</v>
      </c>
      <c r="C250">
        <f t="shared" si="29"/>
        <v>0.67042661895879718</v>
      </c>
      <c r="D250">
        <f t="shared" si="31"/>
        <v>0.74197584097561808</v>
      </c>
      <c r="E250">
        <f t="shared" si="32"/>
        <v>0.78152047241882028</v>
      </c>
      <c r="F250">
        <f t="shared" si="30"/>
        <v>2.675106628026582E+18</v>
      </c>
    </row>
    <row r="251" spans="1:6" x14ac:dyDescent="0.2">
      <c r="A251">
        <f t="shared" si="33"/>
        <v>48.100000000000151</v>
      </c>
      <c r="B251">
        <f t="shared" si="28"/>
        <v>0.83950337020927512</v>
      </c>
      <c r="C251">
        <f t="shared" si="29"/>
        <v>0.6678325554710447</v>
      </c>
      <c r="D251">
        <f t="shared" si="31"/>
        <v>0.74431154623115581</v>
      </c>
      <c r="E251">
        <f t="shared" si="32"/>
        <v>0.78369345732584139</v>
      </c>
      <c r="F251">
        <f t="shared" si="30"/>
        <v>3.010076593945964E+18</v>
      </c>
    </row>
    <row r="252" spans="1:6" x14ac:dyDescent="0.2">
      <c r="A252">
        <f t="shared" si="33"/>
        <v>48.300000000000153</v>
      </c>
      <c r="B252">
        <f t="shared" si="28"/>
        <v>0.84299402871326379</v>
      </c>
      <c r="C252">
        <f t="shared" si="29"/>
        <v>0.66523035465435887</v>
      </c>
      <c r="D252">
        <f t="shared" si="31"/>
        <v>0.74663818228539314</v>
      </c>
      <c r="E252">
        <f t="shared" si="32"/>
        <v>0.78585689317540353</v>
      </c>
      <c r="F252">
        <f t="shared" si="30"/>
        <v>3.3852351403818158E+18</v>
      </c>
    </row>
    <row r="253" spans="1:6" x14ac:dyDescent="0.2">
      <c r="A253">
        <f t="shared" si="33"/>
        <v>48.500000000000156</v>
      </c>
      <c r="B253">
        <f t="shared" si="28"/>
        <v>0.84648468721725245</v>
      </c>
      <c r="C253">
        <f t="shared" si="29"/>
        <v>0.6626200482157355</v>
      </c>
      <c r="D253">
        <f t="shared" si="31"/>
        <v>0.74895572078900385</v>
      </c>
      <c r="E253">
        <f t="shared" si="32"/>
        <v>0.78801075360672346</v>
      </c>
      <c r="F253">
        <f t="shared" si="30"/>
        <v>3.805172565468396E+18</v>
      </c>
    </row>
    <row r="254" spans="1:6" x14ac:dyDescent="0.2">
      <c r="A254">
        <f t="shared" si="33"/>
        <v>48.700000000000159</v>
      </c>
      <c r="B254">
        <f t="shared" si="28"/>
        <v>0.84997534572124134</v>
      </c>
      <c r="C254">
        <f t="shared" si="29"/>
        <v>0.66000166796093462</v>
      </c>
      <c r="D254">
        <f t="shared" si="31"/>
        <v>0.75126413350351307</v>
      </c>
      <c r="E254">
        <f t="shared" si="32"/>
        <v>0.79015501237569219</v>
      </c>
      <c r="F254">
        <f t="shared" si="30"/>
        <v>4.2749739968016911E+18</v>
      </c>
    </row>
    <row r="255" spans="1:6" x14ac:dyDescent="0.2">
      <c r="A255">
        <f t="shared" si="33"/>
        <v>48.900000000000162</v>
      </c>
      <c r="B255">
        <f t="shared" si="28"/>
        <v>0.85346600422523</v>
      </c>
      <c r="C255">
        <f t="shared" si="29"/>
        <v>0.65737524579409357</v>
      </c>
      <c r="D255">
        <f t="shared" si="31"/>
        <v>0.75356339230163971</v>
      </c>
      <c r="E255">
        <f t="shared" si="32"/>
        <v>0.79228964335519225</v>
      </c>
      <c r="F255">
        <f t="shared" si="30"/>
        <v>4.8002691169548268E+18</v>
      </c>
    </row>
    <row r="256" spans="1:6" x14ac:dyDescent="0.2">
      <c r="A256">
        <f t="shared" si="33"/>
        <v>49.100000000000165</v>
      </c>
      <c r="B256">
        <f t="shared" si="28"/>
        <v>0.85695666272921867</v>
      </c>
      <c r="C256">
        <f t="shared" si="29"/>
        <v>0.65474081371733761</v>
      </c>
      <c r="D256">
        <f t="shared" si="31"/>
        <v>0.7558534691676414</v>
      </c>
      <c r="E256">
        <f t="shared" si="32"/>
        <v>0.79441462053541978</v>
      </c>
      <c r="F256">
        <f t="shared" si="30"/>
        <v>5.3872864592834918E+18</v>
      </c>
    </row>
    <row r="257" spans="1:6" x14ac:dyDescent="0.2">
      <c r="A257">
        <f t="shared" si="33"/>
        <v>49.300000000000168</v>
      </c>
      <c r="B257">
        <f t="shared" si="28"/>
        <v>0.86044732123320733</v>
      </c>
      <c r="C257">
        <f t="shared" si="29"/>
        <v>0.65209840383038997</v>
      </c>
      <c r="D257">
        <f t="shared" si="31"/>
        <v>0.75813433619765402</v>
      </c>
      <c r="E257">
        <f t="shared" si="32"/>
        <v>0.79652991802419792</v>
      </c>
      <c r="F257">
        <f t="shared" si="30"/>
        <v>6.0429126457557146E+18</v>
      </c>
    </row>
    <row r="258" spans="1:6" x14ac:dyDescent="0.2">
      <c r="A258">
        <f t="shared" si="33"/>
        <v>49.500000000000171</v>
      </c>
      <c r="B258">
        <f t="shared" si="28"/>
        <v>0.86393797973719599</v>
      </c>
      <c r="C258">
        <f t="shared" si="29"/>
        <v>0.64944804833018144</v>
      </c>
      <c r="D258">
        <f t="shared" si="31"/>
        <v>0.76040596560003282</v>
      </c>
      <c r="E258">
        <f t="shared" si="32"/>
        <v>0.79863551004729461</v>
      </c>
      <c r="F258">
        <f t="shared" si="30"/>
        <v>6.7747569635141499E+18</v>
      </c>
    </row>
    <row r="259" spans="1:6" x14ac:dyDescent="0.2">
      <c r="A259">
        <f t="shared" si="33"/>
        <v>49.700000000000173</v>
      </c>
      <c r="B259">
        <f t="shared" si="28"/>
        <v>0.86742863824118488</v>
      </c>
      <c r="C259">
        <f t="shared" si="29"/>
        <v>0.64678977951045713</v>
      </c>
      <c r="D259">
        <f t="shared" si="31"/>
        <v>0.76266832969569032</v>
      </c>
      <c r="E259">
        <f t="shared" si="32"/>
        <v>0.80073137094873525</v>
      </c>
      <c r="F259">
        <f t="shared" si="30"/>
        <v>7.5912217029536317E+18</v>
      </c>
    </row>
    <row r="260" spans="1:6" x14ac:dyDescent="0.2">
      <c r="A260">
        <f t="shared" si="33"/>
        <v>49.900000000000176</v>
      </c>
      <c r="B260">
        <f t="shared" si="28"/>
        <v>0.87091929674517354</v>
      </c>
      <c r="C260">
        <f t="shared" si="29"/>
        <v>0.64412362976138415</v>
      </c>
      <c r="D260">
        <f t="shared" si="31"/>
        <v>0.76492140091843375</v>
      </c>
      <c r="E260">
        <f t="shared" si="32"/>
        <v>0.80281747519111624</v>
      </c>
      <c r="F260">
        <f t="shared" si="30"/>
        <v>8.501578707286571E+18</v>
      </c>
    </row>
    <row r="261" spans="1:6" x14ac:dyDescent="0.2">
      <c r="A261">
        <f t="shared" si="33"/>
        <v>50.100000000000179</v>
      </c>
      <c r="B261">
        <f t="shared" si="28"/>
        <v>0.87440995524916221</v>
      </c>
      <c r="C261">
        <f t="shared" si="29"/>
        <v>0.64144963156915547</v>
      </c>
      <c r="D261">
        <f t="shared" si="31"/>
        <v>0.76716515181530154</v>
      </c>
      <c r="E261">
        <f t="shared" si="32"/>
        <v>0.80489379735591582</v>
      </c>
      <c r="F261">
        <f t="shared" si="30"/>
        <v>9.5160526118302126E+18</v>
      </c>
    </row>
    <row r="262" spans="1:6" x14ac:dyDescent="0.2">
      <c r="A262">
        <f t="shared" si="33"/>
        <v>50.300000000000182</v>
      </c>
      <c r="B262">
        <f t="shared" si="28"/>
        <v>0.87790061375315087</v>
      </c>
      <c r="C262">
        <f t="shared" si="29"/>
        <v>0.6387678175155953</v>
      </c>
      <c r="D262">
        <f t="shared" si="31"/>
        <v>0.76939955504689705</v>
      </c>
      <c r="E262">
        <f t="shared" si="32"/>
        <v>0.8069603121438037</v>
      </c>
      <c r="F262">
        <f t="shared" si="30"/>
        <v>1.0645911280563593E+19</v>
      </c>
    </row>
    <row r="263" spans="1:6" x14ac:dyDescent="0.2">
      <c r="A263">
        <f t="shared" si="33"/>
        <v>50.500000000000185</v>
      </c>
      <c r="B263">
        <f t="shared" si="28"/>
        <v>0.88139127225713954</v>
      </c>
      <c r="C263">
        <f t="shared" si="29"/>
        <v>0.63607822027776151</v>
      </c>
      <c r="D263">
        <f t="shared" si="31"/>
        <v>0.771624583387722</v>
      </c>
      <c r="E263">
        <f t="shared" si="32"/>
        <v>0.80901699437494923</v>
      </c>
      <c r="F263">
        <f t="shared" si="30"/>
        <v>1.1903563977822829E+19</v>
      </c>
    </row>
    <row r="264" spans="1:6" x14ac:dyDescent="0.2">
      <c r="A264">
        <f t="shared" si="33"/>
        <v>50.700000000000188</v>
      </c>
      <c r="B264">
        <f t="shared" si="28"/>
        <v>0.88488193076112842</v>
      </c>
      <c r="C264">
        <f t="shared" si="29"/>
        <v>0.63338087262754761</v>
      </c>
      <c r="D264">
        <f t="shared" si="31"/>
        <v>0.77384020972650835</v>
      </c>
      <c r="E264">
        <f t="shared" si="32"/>
        <v>0.81106381898932867</v>
      </c>
      <c r="F264">
        <f t="shared" si="30"/>
        <v>1.3302667844270432E+19</v>
      </c>
    </row>
    <row r="265" spans="1:6" x14ac:dyDescent="0.2">
      <c r="A265">
        <f t="shared" si="33"/>
        <v>50.90000000000019</v>
      </c>
      <c r="B265">
        <f t="shared" si="28"/>
        <v>0.88837258926511709</v>
      </c>
      <c r="C265">
        <f t="shared" si="29"/>
        <v>0.6306758074312836</v>
      </c>
      <c r="D265">
        <f t="shared" si="31"/>
        <v>0.77604640706654804</v>
      </c>
      <c r="E265">
        <f t="shared" si="32"/>
        <v>0.81310076104702955</v>
      </c>
      <c r="F265">
        <f t="shared" si="30"/>
        <v>1.4858243278428176E+19</v>
      </c>
    </row>
    <row r="266" spans="1:6" x14ac:dyDescent="0.2">
      <c r="A266">
        <f t="shared" si="33"/>
        <v>51.100000000000193</v>
      </c>
      <c r="B266">
        <f t="shared" si="28"/>
        <v>0.89186324776910575</v>
      </c>
      <c r="C266">
        <f t="shared" si="29"/>
        <v>0.62796305764933524</v>
      </c>
      <c r="D266">
        <f t="shared" si="31"/>
        <v>0.77824314852602305</v>
      </c>
      <c r="E266">
        <f t="shared" si="32"/>
        <v>0.81512779572855609</v>
      </c>
      <c r="F266">
        <f t="shared" si="30"/>
        <v>1.6586798858011785E+19</v>
      </c>
    </row>
    <row r="267" spans="1:6" x14ac:dyDescent="0.2">
      <c r="A267">
        <f t="shared" si="33"/>
        <v>51.300000000000196</v>
      </c>
      <c r="B267">
        <f t="shared" ref="B267:B330" si="34">A267*PI()/180</f>
        <v>0.89535390627309441</v>
      </c>
      <c r="C267">
        <f t="shared" ref="C267:C330" si="35">COS(B267)</f>
        <v>0.62524265633570253</v>
      </c>
      <c r="D267">
        <f t="shared" si="31"/>
        <v>0.7804304073383318</v>
      </c>
      <c r="E267">
        <f t="shared" si="32"/>
        <v>0.81714489833513038</v>
      </c>
      <c r="F267">
        <f t="shared" ref="F267:F330" si="36">EXP(E267*$C$5*$C$6^2/($C$3*$C$2))</f>
        <v>1.8506466468954714E+19</v>
      </c>
    </row>
    <row r="268" spans="1:6" x14ac:dyDescent="0.2">
      <c r="A268">
        <f t="shared" si="33"/>
        <v>51.500000000000199</v>
      </c>
      <c r="B268">
        <f t="shared" si="34"/>
        <v>0.89884456477708308</v>
      </c>
      <c r="C268">
        <f t="shared" si="35"/>
        <v>0.62251463663761697</v>
      </c>
      <c r="D268">
        <f t="shared" si="31"/>
        <v>0.78260815685241603</v>
      </c>
      <c r="E268">
        <f t="shared" si="32"/>
        <v>0.81915204428899369</v>
      </c>
      <c r="F268">
        <f t="shared" si="36"/>
        <v>2.0637147344235794E+19</v>
      </c>
    </row>
    <row r="269" spans="1:6" x14ac:dyDescent="0.2">
      <c r="A269">
        <f t="shared" si="33"/>
        <v>51.700000000000202</v>
      </c>
      <c r="B269">
        <f t="shared" si="34"/>
        <v>0.90233522328107185</v>
      </c>
      <c r="C269">
        <f t="shared" si="35"/>
        <v>0.61977903179513738</v>
      </c>
      <c r="D269">
        <f t="shared" si="31"/>
        <v>0.78477637053308502</v>
      </c>
      <c r="E269">
        <f t="shared" si="32"/>
        <v>0.82114920913370593</v>
      </c>
      <c r="F269">
        <f t="shared" si="36"/>
        <v>2.3000669749307396E+19</v>
      </c>
    </row>
    <row r="270" spans="1:6" x14ac:dyDescent="0.2">
      <c r="A270">
        <f t="shared" si="33"/>
        <v>51.900000000000205</v>
      </c>
      <c r="B270">
        <f t="shared" si="34"/>
        <v>0.90582588178506063</v>
      </c>
      <c r="C270">
        <f t="shared" si="35"/>
        <v>0.61703587514074587</v>
      </c>
      <c r="D270">
        <f t="shared" si="31"/>
        <v>0.78693502196133958</v>
      </c>
      <c r="E270">
        <f t="shared" si="32"/>
        <v>0.82313636853444394</v>
      </c>
      <c r="F270">
        <f t="shared" si="36"/>
        <v>2.5620959085885374E+19</v>
      </c>
    </row>
    <row r="271" spans="1:6" x14ac:dyDescent="0.2">
      <c r="A271">
        <f t="shared" si="33"/>
        <v>52.100000000000207</v>
      </c>
      <c r="B271">
        <f t="shared" si="34"/>
        <v>0.90931654028904929</v>
      </c>
      <c r="C271">
        <f t="shared" si="35"/>
        <v>0.61428520009894039</v>
      </c>
      <c r="D271">
        <f t="shared" si="31"/>
        <v>0.78908408483469283</v>
      </c>
      <c r="E271">
        <f t="shared" si="32"/>
        <v>0.82511349827829705</v>
      </c>
      <c r="F271">
        <f t="shared" si="36"/>
        <v>2.8524221220938191E+19</v>
      </c>
    </row>
    <row r="272" spans="1:6" x14ac:dyDescent="0.2">
      <c r="A272">
        <f t="shared" si="33"/>
        <v>52.30000000000021</v>
      </c>
      <c r="B272">
        <f t="shared" si="34"/>
        <v>0.91280719879303795</v>
      </c>
      <c r="C272">
        <f t="shared" si="35"/>
        <v>0.61152704018582837</v>
      </c>
      <c r="D272">
        <f t="shared" si="31"/>
        <v>0.79122353296749226</v>
      </c>
      <c r="E272">
        <f t="shared" si="32"/>
        <v>0.82708057427456383</v>
      </c>
      <c r="F272">
        <f t="shared" si="36"/>
        <v>3.1739139882729181E+19</v>
      </c>
    </row>
    <row r="273" spans="1:6" x14ac:dyDescent="0.2">
      <c r="A273">
        <f t="shared" si="33"/>
        <v>52.500000000000213</v>
      </c>
      <c r="B273">
        <f t="shared" si="34"/>
        <v>0.91629785729702662</v>
      </c>
      <c r="C273">
        <f t="shared" si="35"/>
        <v>0.60876142900871777</v>
      </c>
      <c r="D273">
        <f t="shared" si="31"/>
        <v>0.79335334029123739</v>
      </c>
      <c r="E273">
        <f t="shared" si="32"/>
        <v>0.82903757255504362</v>
      </c>
      <c r="F273">
        <f t="shared" si="36"/>
        <v>3.5297089000421429E+19</v>
      </c>
    </row>
    <row r="274" spans="1:6" x14ac:dyDescent="0.2">
      <c r="A274">
        <f t="shared" si="33"/>
        <v>52.700000000000216</v>
      </c>
      <c r="B274">
        <f t="shared" si="34"/>
        <v>0.91978851580101539</v>
      </c>
      <c r="C274">
        <f t="shared" si="35"/>
        <v>0.6059884002657081</v>
      </c>
      <c r="D274">
        <f t="shared" si="31"/>
        <v>0.79547348085489811</v>
      </c>
      <c r="E274">
        <f t="shared" si="32"/>
        <v>0.83098446927433023</v>
      </c>
      <c r="F274">
        <f t="shared" si="36"/>
        <v>3.9232360897927643E+19</v>
      </c>
    </row>
    <row r="275" spans="1:6" x14ac:dyDescent="0.2">
      <c r="A275">
        <f t="shared" si="33"/>
        <v>52.900000000000219</v>
      </c>
      <c r="B275">
        <f t="shared" si="34"/>
        <v>0.92327917430500417</v>
      </c>
      <c r="C275">
        <f t="shared" si="35"/>
        <v>0.60320798774527939</v>
      </c>
      <c r="D275">
        <f t="shared" si="31"/>
        <v>0.79758392882523077</v>
      </c>
      <c r="E275">
        <f t="shared" si="32"/>
        <v>0.83292124071010154</v>
      </c>
      <c r="F275">
        <f t="shared" si="36"/>
        <v>4.3582411285947032E+19</v>
      </c>
    </row>
    <row r="276" spans="1:6" x14ac:dyDescent="0.2">
      <c r="A276">
        <f t="shared" si="33"/>
        <v>53.100000000000222</v>
      </c>
      <c r="B276">
        <f t="shared" si="34"/>
        <v>0.92676983280899283</v>
      </c>
      <c r="C276">
        <f t="shared" si="35"/>
        <v>0.60042022532588102</v>
      </c>
      <c r="D276">
        <f t="shared" si="31"/>
        <v>0.7996846584870928</v>
      </c>
      <c r="E276">
        <f t="shared" si="32"/>
        <v>0.83484786326340854</v>
      </c>
      <c r="F276">
        <f t="shared" si="36"/>
        <v>4.838812202833159E+19</v>
      </c>
    </row>
    <row r="277" spans="1:6" x14ac:dyDescent="0.2">
      <c r="A277">
        <f t="shared" si="33"/>
        <v>53.300000000000225</v>
      </c>
      <c r="B277">
        <f t="shared" si="34"/>
        <v>0.9302604913129815</v>
      </c>
      <c r="C277">
        <f t="shared" si="35"/>
        <v>0.59762514697551805</v>
      </c>
      <c r="D277">
        <f t="shared" ref="D277:D340" si="37">SIN(B277)</f>
        <v>0.80177564424375625</v>
      </c>
      <c r="E277">
        <f t="shared" ref="E277:E340" si="38">C277*$E$7+D277*$F$7</f>
        <v>0.83676431345896374</v>
      </c>
      <c r="F277">
        <f t="shared" si="36"/>
        <v>5.3694082689600455E+19</v>
      </c>
    </row>
    <row r="278" spans="1:6" x14ac:dyDescent="0.2">
      <c r="A278">
        <f t="shared" si="33"/>
        <v>53.500000000000227</v>
      </c>
      <c r="B278">
        <f t="shared" si="34"/>
        <v>0.93375114981697027</v>
      </c>
      <c r="C278">
        <f t="shared" si="35"/>
        <v>0.59482278675133815</v>
      </c>
      <c r="D278">
        <f t="shared" si="37"/>
        <v>0.80385686061721962</v>
      </c>
      <c r="E278">
        <f t="shared" si="38"/>
        <v>0.83867056794542616</v>
      </c>
      <c r="F278">
        <f t="shared" si="36"/>
        <v>5.9548891899303109E+19</v>
      </c>
    </row>
    <row r="279" spans="1:6" x14ac:dyDescent="0.2">
      <c r="A279">
        <f t="shared" si="33"/>
        <v>53.70000000000023</v>
      </c>
      <c r="B279">
        <f t="shared" si="34"/>
        <v>0.93724180832095894</v>
      </c>
      <c r="C279">
        <f t="shared" si="35"/>
        <v>0.59201317879921633</v>
      </c>
      <c r="D279">
        <f t="shared" si="37"/>
        <v>0.80592828224851809</v>
      </c>
      <c r="E279">
        <f t="shared" si="38"/>
        <v>0.84056660349568635</v>
      </c>
      <c r="F279">
        <f t="shared" si="36"/>
        <v>6.6005479595597644E+19</v>
      </c>
    </row>
    <row r="280" spans="1:6" x14ac:dyDescent="0.2">
      <c r="A280">
        <f t="shared" si="33"/>
        <v>53.900000000000233</v>
      </c>
      <c r="B280">
        <f t="shared" si="34"/>
        <v>0.94073246682494771</v>
      </c>
      <c r="C280">
        <f t="shared" si="35"/>
        <v>0.58919635735333875</v>
      </c>
      <c r="D280">
        <f t="shared" si="37"/>
        <v>0.80798988389803295</v>
      </c>
      <c r="E280">
        <f t="shared" si="38"/>
        <v>0.84245239700714969</v>
      </c>
      <c r="F280">
        <f t="shared" si="36"/>
        <v>7.3121451234402427E+19</v>
      </c>
    </row>
    <row r="281" spans="1:6" x14ac:dyDescent="0.2">
      <c r="A281">
        <f t="shared" si="33"/>
        <v>54.100000000000236</v>
      </c>
      <c r="B281">
        <f t="shared" si="34"/>
        <v>0.94422312532893637</v>
      </c>
      <c r="C281">
        <f t="shared" si="35"/>
        <v>0.58637235673578603</v>
      </c>
      <c r="D281">
        <f t="shared" si="37"/>
        <v>0.81004164044579841</v>
      </c>
      <c r="E281">
        <f t="shared" si="38"/>
        <v>0.84432792550201718</v>
      </c>
      <c r="F281">
        <f t="shared" si="36"/>
        <v>8.095945507141691E+19</v>
      </c>
    </row>
    <row r="282" spans="1:6" x14ac:dyDescent="0.2">
      <c r="A282">
        <f t="shared" si="33"/>
        <v>54.300000000000239</v>
      </c>
      <c r="B282">
        <f t="shared" si="34"/>
        <v>0.94771378383292515</v>
      </c>
      <c r="C282">
        <f t="shared" si="35"/>
        <v>0.58354121135611414</v>
      </c>
      <c r="D282">
        <f t="shared" si="37"/>
        <v>0.81208352689180863</v>
      </c>
      <c r="E282">
        <f t="shared" si="38"/>
        <v>0.84619316612756612</v>
      </c>
      <c r="F282">
        <f t="shared" si="36"/>
        <v>8.9587573641643491E+19</v>
      </c>
    </row>
    <row r="283" spans="1:6" x14ac:dyDescent="0.2">
      <c r="A283">
        <f t="shared" si="33"/>
        <v>54.500000000000242</v>
      </c>
      <c r="B283">
        <f t="shared" si="34"/>
        <v>0.95120444233691381</v>
      </c>
      <c r="C283">
        <f t="shared" si="35"/>
        <v>0.58070295571093633</v>
      </c>
      <c r="D283">
        <f t="shared" si="37"/>
        <v>0.81411551835632168</v>
      </c>
      <c r="E283">
        <f t="shared" si="38"/>
        <v>0.84804809615642818</v>
      </c>
      <c r="F283">
        <f t="shared" si="36"/>
        <v>9.907974057425725E+19</v>
      </c>
    </row>
    <row r="284" spans="1:6" x14ac:dyDescent="0.2">
      <c r="A284">
        <f t="shared" si="33"/>
        <v>54.700000000000244</v>
      </c>
      <c r="B284">
        <f t="shared" si="34"/>
        <v>0.95469510084090248</v>
      </c>
      <c r="C284">
        <f t="shared" si="35"/>
        <v>0.57785762438350186</v>
      </c>
      <c r="D284">
        <f t="shared" si="37"/>
        <v>0.81613759008016262</v>
      </c>
      <c r="E284">
        <f t="shared" si="38"/>
        <v>0.84989269298686598</v>
      </c>
      <c r="F284">
        <f t="shared" si="36"/>
        <v>1.0951618388926982E+20</v>
      </c>
    </row>
    <row r="285" spans="1:6" x14ac:dyDescent="0.2">
      <c r="A285">
        <f t="shared" si="33"/>
        <v>54.900000000000247</v>
      </c>
      <c r="B285">
        <f t="shared" si="34"/>
        <v>0.95818575934489125</v>
      </c>
      <c r="C285">
        <f t="shared" si="35"/>
        <v>0.57500525204327502</v>
      </c>
      <c r="D285">
        <f t="shared" si="37"/>
        <v>0.81814971742502596</v>
      </c>
      <c r="E285">
        <f t="shared" si="38"/>
        <v>0.8517269341430499</v>
      </c>
      <c r="F285">
        <f t="shared" si="36"/>
        <v>1.2098389692578167E+20</v>
      </c>
    </row>
    <row r="286" spans="1:6" x14ac:dyDescent="0.2">
      <c r="A286">
        <f t="shared" si="33"/>
        <v>55.10000000000025</v>
      </c>
      <c r="B286">
        <f t="shared" si="34"/>
        <v>0.96167641784887992</v>
      </c>
      <c r="C286">
        <f t="shared" si="35"/>
        <v>0.57214587344551271</v>
      </c>
      <c r="D286">
        <f t="shared" si="37"/>
        <v>0.82015187587377458</v>
      </c>
      <c r="E286">
        <f t="shared" si="38"/>
        <v>0.85355079727532968</v>
      </c>
      <c r="F286">
        <f t="shared" si="36"/>
        <v>1.3357713804908716E+20</v>
      </c>
    </row>
    <row r="287" spans="1:6" x14ac:dyDescent="0.2">
      <c r="A287">
        <f t="shared" si="33"/>
        <v>55.300000000000253</v>
      </c>
      <c r="B287">
        <f t="shared" si="34"/>
        <v>0.96516707635286869</v>
      </c>
      <c r="C287">
        <f t="shared" si="35"/>
        <v>0.56927952343084054</v>
      </c>
      <c r="D287">
        <f t="shared" si="37"/>
        <v>0.82214404103074001</v>
      </c>
      <c r="E287">
        <f t="shared" si="38"/>
        <v>0.85536426016050893</v>
      </c>
      <c r="F287">
        <f t="shared" si="36"/>
        <v>1.4739796027491957E+20</v>
      </c>
    </row>
    <row r="288" spans="1:6" x14ac:dyDescent="0.2">
      <c r="A288">
        <f t="shared" si="33"/>
        <v>55.500000000000256</v>
      </c>
      <c r="B288">
        <f t="shared" si="34"/>
        <v>0.96865773485685736</v>
      </c>
      <c r="C288">
        <f t="shared" si="35"/>
        <v>0.56640623692482917</v>
      </c>
      <c r="D288">
        <f t="shared" si="37"/>
        <v>0.82412618862201814</v>
      </c>
      <c r="E288">
        <f t="shared" si="38"/>
        <v>0.85716730070211444</v>
      </c>
      <c r="F288">
        <f t="shared" si="36"/>
        <v>1.6255677193296291E+20</v>
      </c>
    </row>
    <row r="289" spans="1:6" x14ac:dyDescent="0.2">
      <c r="A289">
        <f t="shared" si="33"/>
        <v>55.700000000000259</v>
      </c>
      <c r="B289">
        <f t="shared" si="34"/>
        <v>0.97214839336084602</v>
      </c>
      <c r="C289">
        <f t="shared" si="35"/>
        <v>0.56352604893756775</v>
      </c>
      <c r="D289">
        <f t="shared" si="37"/>
        <v>0.82609829449576644</v>
      </c>
      <c r="E289">
        <f t="shared" si="38"/>
        <v>0.85895989693066666</v>
      </c>
      <c r="F289">
        <f t="shared" si="36"/>
        <v>1.7917292946767924E+20</v>
      </c>
    </row>
    <row r="290" spans="1:6" x14ac:dyDescent="0.2">
      <c r="A290">
        <f t="shared" si="33"/>
        <v>55.900000000000261</v>
      </c>
      <c r="B290">
        <f t="shared" si="34"/>
        <v>0.97563905186483468</v>
      </c>
      <c r="C290">
        <f t="shared" si="35"/>
        <v>0.56063899456323807</v>
      </c>
      <c r="D290">
        <f t="shared" si="37"/>
        <v>0.82806033462249684</v>
      </c>
      <c r="E290">
        <f t="shared" si="38"/>
        <v>0.86074202700394575</v>
      </c>
      <c r="F290">
        <f t="shared" si="36"/>
        <v>1.9737536344192913E+20</v>
      </c>
    </row>
    <row r="291" spans="1:6" x14ac:dyDescent="0.2">
      <c r="A291">
        <f t="shared" si="33"/>
        <v>56.100000000000264</v>
      </c>
      <c r="B291">
        <f t="shared" si="34"/>
        <v>0.97912971036882357</v>
      </c>
      <c r="C291">
        <f t="shared" si="35"/>
        <v>0.55774510897968621</v>
      </c>
      <c r="D291">
        <f t="shared" si="37"/>
        <v>0.83001228509537006</v>
      </c>
      <c r="E291">
        <f t="shared" si="38"/>
        <v>0.8625136692072598</v>
      </c>
      <c r="F291">
        <f t="shared" si="36"/>
        <v>2.1730323876690841E+20</v>
      </c>
    </row>
    <row r="292" spans="1:6" x14ac:dyDescent="0.2">
      <c r="A292">
        <f t="shared" si="33"/>
        <v>56.300000000000267</v>
      </c>
      <c r="B292">
        <f t="shared" si="34"/>
        <v>0.98262036887281223</v>
      </c>
      <c r="C292">
        <f t="shared" si="35"/>
        <v>0.55484442744799534</v>
      </c>
      <c r="D292">
        <f t="shared" si="37"/>
        <v>0.83195412213048514</v>
      </c>
      <c r="E292">
        <f t="shared" si="38"/>
        <v>0.86427480195370698</v>
      </c>
      <c r="F292">
        <f t="shared" si="36"/>
        <v>2.3910665012974492E+20</v>
      </c>
    </row>
    <row r="293" spans="1:6" x14ac:dyDescent="0.2">
      <c r="A293">
        <f t="shared" si="33"/>
        <v>56.50000000000027</v>
      </c>
      <c r="B293">
        <f t="shared" si="34"/>
        <v>0.9861110273768009</v>
      </c>
      <c r="C293">
        <f t="shared" si="35"/>
        <v>0.55193698531205426</v>
      </c>
      <c r="D293">
        <f t="shared" si="37"/>
        <v>0.83388582206717077</v>
      </c>
      <c r="E293">
        <f t="shared" si="38"/>
        <v>0.86602540378444093</v>
      </c>
      <c r="F293">
        <f t="shared" si="36"/>
        <v>2.6294735352739355E+20</v>
      </c>
    </row>
    <row r="294" spans="1:6" x14ac:dyDescent="0.2">
      <c r="A294">
        <f t="shared" si="33"/>
        <v>56.700000000000273</v>
      </c>
      <c r="B294">
        <f t="shared" si="34"/>
        <v>0.98960168588078956</v>
      </c>
      <c r="C294">
        <f t="shared" si="35"/>
        <v>0.5490228179981278</v>
      </c>
      <c r="D294">
        <f t="shared" si="37"/>
        <v>0.83580736136827283</v>
      </c>
      <c r="E294">
        <f t="shared" si="38"/>
        <v>0.86776545336893074</v>
      </c>
      <c r="F294">
        <f t="shared" si="36"/>
        <v>2.8899953474059095E+20</v>
      </c>
    </row>
    <row r="295" spans="1:6" x14ac:dyDescent="0.2">
      <c r="A295">
        <f t="shared" si="33"/>
        <v>56.900000000000276</v>
      </c>
      <c r="B295">
        <f t="shared" si="34"/>
        <v>0.99309234438477823</v>
      </c>
      <c r="C295">
        <f t="shared" si="35"/>
        <v>0.5461019610144251</v>
      </c>
      <c r="D295">
        <f t="shared" si="37"/>
        <v>0.83771871662044139</v>
      </c>
      <c r="E295">
        <f t="shared" si="38"/>
        <v>0.86949492950522134</v>
      </c>
      <c r="F295">
        <f t="shared" si="36"/>
        <v>3.174506154947545E+20</v>
      </c>
    </row>
    <row r="296" spans="1:6" x14ac:dyDescent="0.2">
      <c r="A296">
        <f t="shared" si="33"/>
        <v>57.100000000000279</v>
      </c>
      <c r="B296">
        <f t="shared" si="34"/>
        <v>0.99658300288876711</v>
      </c>
      <c r="C296">
        <f t="shared" si="35"/>
        <v>0.54317444995066655</v>
      </c>
      <c r="D296">
        <f t="shared" si="37"/>
        <v>0.83961986453441584</v>
      </c>
      <c r="E296">
        <f t="shared" si="38"/>
        <v>0.87121381112019169</v>
      </c>
      <c r="F296">
        <f t="shared" si="36"/>
        <v>3.4850209795432867E+20</v>
      </c>
    </row>
    <row r="297" spans="1:6" x14ac:dyDescent="0.2">
      <c r="A297">
        <f t="shared" si="33"/>
        <v>57.300000000000281</v>
      </c>
      <c r="B297">
        <f t="shared" si="34"/>
        <v>1.0000736613927557</v>
      </c>
      <c r="C297">
        <f t="shared" si="35"/>
        <v>0.54024032047765091</v>
      </c>
      <c r="D297">
        <f t="shared" si="37"/>
        <v>0.84151078194530871</v>
      </c>
      <c r="E297">
        <f t="shared" si="38"/>
        <v>0.87292207726981186</v>
      </c>
      <c r="F297">
        <f t="shared" si="36"/>
        <v>3.8237044808261914E+20</v>
      </c>
    </row>
    <row r="298" spans="1:6" x14ac:dyDescent="0.2">
      <c r="A298">
        <f t="shared" ref="A298:A356" si="39">A297+0.2</f>
        <v>57.500000000000284</v>
      </c>
      <c r="B298">
        <f t="shared" si="34"/>
        <v>1.0035643198967443</v>
      </c>
      <c r="C298">
        <f t="shared" si="35"/>
        <v>0.53729960834681978</v>
      </c>
      <c r="D298">
        <f t="shared" si="37"/>
        <v>0.84339144581288827</v>
      </c>
      <c r="E298">
        <f t="shared" si="38"/>
        <v>0.87461970713939807</v>
      </c>
      <c r="F298">
        <f t="shared" si="36"/>
        <v>4.1928801827005858E+20</v>
      </c>
    </row>
    <row r="299" spans="1:6" x14ac:dyDescent="0.2">
      <c r="A299">
        <f t="shared" si="39"/>
        <v>57.700000000000287</v>
      </c>
      <c r="B299">
        <f t="shared" si="34"/>
        <v>1.0070549784007332</v>
      </c>
      <c r="C299">
        <f t="shared" si="35"/>
        <v>0.53435234938982212</v>
      </c>
      <c r="D299">
        <f t="shared" si="37"/>
        <v>0.84526183322185888</v>
      </c>
      <c r="E299">
        <f t="shared" si="38"/>
        <v>0.87630668004386603</v>
      </c>
      <c r="F299">
        <f t="shared" si="36"/>
        <v>4.5950400948897697E+20</v>
      </c>
    </row>
    <row r="300" spans="1:6" x14ac:dyDescent="0.2">
      <c r="A300">
        <f t="shared" si="39"/>
        <v>57.90000000000029</v>
      </c>
      <c r="B300">
        <f t="shared" si="34"/>
        <v>1.0105456369047219</v>
      </c>
      <c r="C300">
        <f t="shared" si="35"/>
        <v>0.53139857951807856</v>
      </c>
      <c r="D300">
        <f t="shared" si="37"/>
        <v>0.84712192138213982</v>
      </c>
      <c r="E300">
        <f t="shared" si="38"/>
        <v>0.87798297542798298</v>
      </c>
      <c r="F300">
        <f t="shared" si="36"/>
        <v>5.0328547307183944E+20</v>
      </c>
    </row>
    <row r="301" spans="1:6" x14ac:dyDescent="0.2">
      <c r="A301">
        <f t="shared" si="39"/>
        <v>58.100000000000293</v>
      </c>
      <c r="B301">
        <f t="shared" si="34"/>
        <v>1.0140362954087105</v>
      </c>
      <c r="C301">
        <f t="shared" si="35"/>
        <v>0.52843833472234281</v>
      </c>
      <c r="D301">
        <f t="shared" si="37"/>
        <v>0.84897168762914421</v>
      </c>
      <c r="E301">
        <f t="shared" si="38"/>
        <v>0.87964857286661891</v>
      </c>
      <c r="F301">
        <f t="shared" si="36"/>
        <v>5.509183520317771E+20</v>
      </c>
    </row>
    <row r="302" spans="1:6" x14ac:dyDescent="0.2">
      <c r="A302">
        <f t="shared" si="39"/>
        <v>58.300000000000296</v>
      </c>
      <c r="B302">
        <f t="shared" si="34"/>
        <v>1.0175269539126992</v>
      </c>
      <c r="C302">
        <f t="shared" si="35"/>
        <v>0.52547165107226346</v>
      </c>
      <c r="D302">
        <f t="shared" si="37"/>
        <v>0.85081110942405391</v>
      </c>
      <c r="E302">
        <f t="shared" si="38"/>
        <v>0.88130345206499461</v>
      </c>
      <c r="F302">
        <f t="shared" si="36"/>
        <v>6.0270856164842065E+20</v>
      </c>
    </row>
    <row r="303" spans="1:6" x14ac:dyDescent="0.2">
      <c r="A303">
        <f t="shared" si="39"/>
        <v>58.500000000000298</v>
      </c>
      <c r="B303">
        <f t="shared" si="34"/>
        <v>1.0210176124166881</v>
      </c>
      <c r="C303">
        <f t="shared" si="35"/>
        <v>0.52249856471594436</v>
      </c>
      <c r="D303">
        <f t="shared" si="37"/>
        <v>0.85264016435409495</v>
      </c>
      <c r="E303">
        <f t="shared" si="38"/>
        <v>0.88294759285892932</v>
      </c>
      <c r="F303">
        <f t="shared" si="36"/>
        <v>6.5898310882794825E+20</v>
      </c>
    </row>
    <row r="304" spans="1:6" x14ac:dyDescent="0.2">
      <c r="A304">
        <f t="shared" si="39"/>
        <v>58.700000000000301</v>
      </c>
      <c r="B304">
        <f t="shared" si="34"/>
        <v>1.0245082709206768</v>
      </c>
      <c r="C304">
        <f t="shared" si="35"/>
        <v>0.51951911187950484</v>
      </c>
      <c r="D304">
        <f t="shared" si="37"/>
        <v>0.85445883013281021</v>
      </c>
      <c r="E304">
        <f t="shared" si="38"/>
        <v>0.8845809752150865</v>
      </c>
      <c r="F304">
        <f t="shared" si="36"/>
        <v>7.200912495134161E+20</v>
      </c>
    </row>
    <row r="305" spans="1:6" x14ac:dyDescent="0.2">
      <c r="A305">
        <f t="shared" si="39"/>
        <v>58.900000000000304</v>
      </c>
      <c r="B305">
        <f t="shared" si="34"/>
        <v>1.0279989294246654</v>
      </c>
      <c r="C305">
        <f t="shared" si="35"/>
        <v>0.51653332886663728</v>
      </c>
      <c r="D305">
        <f t="shared" si="37"/>
        <v>0.85626708460033096</v>
      </c>
      <c r="E305">
        <f t="shared" si="38"/>
        <v>0.88620357923121718</v>
      </c>
      <c r="F305">
        <f t="shared" si="36"/>
        <v>7.8640568316920673E+20</v>
      </c>
    </row>
    <row r="306" spans="1:6" x14ac:dyDescent="0.2">
      <c r="A306">
        <f t="shared" si="39"/>
        <v>59.100000000000307</v>
      </c>
      <c r="B306">
        <f t="shared" si="34"/>
        <v>1.0314895879286541</v>
      </c>
      <c r="C306">
        <f t="shared" si="35"/>
        <v>0.51354125205816559</v>
      </c>
      <c r="D306">
        <f t="shared" si="37"/>
        <v>0.85806490572364724</v>
      </c>
      <c r="E306">
        <f t="shared" si="38"/>
        <v>0.88781538513640379</v>
      </c>
      <c r="F306">
        <f t="shared" si="36"/>
        <v>8.5832378309172802E+20</v>
      </c>
    </row>
    <row r="307" spans="1:6" x14ac:dyDescent="0.2">
      <c r="A307">
        <f t="shared" si="39"/>
        <v>59.30000000000031</v>
      </c>
      <c r="B307">
        <f t="shared" si="34"/>
        <v>1.0349802464326427</v>
      </c>
      <c r="C307">
        <f t="shared" si="35"/>
        <v>0.51054291791160122</v>
      </c>
      <c r="D307">
        <f t="shared" si="37"/>
        <v>0.85985227159687616</v>
      </c>
      <c r="E307">
        <f t="shared" si="38"/>
        <v>0.88941637329129997</v>
      </c>
      <c r="F307">
        <f t="shared" si="36"/>
        <v>9.3626886100662904E+20</v>
      </c>
    </row>
    <row r="308" spans="1:6" x14ac:dyDescent="0.2">
      <c r="A308">
        <f t="shared" si="39"/>
        <v>59.500000000000313</v>
      </c>
      <c r="B308">
        <f t="shared" si="34"/>
        <v>1.0384709049366316</v>
      </c>
      <c r="C308">
        <f t="shared" si="35"/>
        <v>0.50753836296069943</v>
      </c>
      <c r="D308">
        <f t="shared" si="37"/>
        <v>0.8616291604415286</v>
      </c>
      <c r="E308">
        <f t="shared" si="38"/>
        <v>0.89100652418837034</v>
      </c>
      <c r="F308">
        <f t="shared" si="36"/>
        <v>1.0206914641012321E+21</v>
      </c>
    </row>
    <row r="309" spans="1:6" x14ac:dyDescent="0.2">
      <c r="A309">
        <f t="shared" si="39"/>
        <v>59.700000000000315</v>
      </c>
      <c r="B309">
        <f t="shared" si="34"/>
        <v>1.0419615634406203</v>
      </c>
      <c r="C309">
        <f t="shared" si="35"/>
        <v>0.50452762381501448</v>
      </c>
      <c r="D309">
        <f t="shared" si="37"/>
        <v>0.86339555060677453</v>
      </c>
      <c r="E309">
        <f t="shared" si="38"/>
        <v>0.89258581845212803</v>
      </c>
      <c r="F309">
        <f t="shared" si="36"/>
        <v>1.1120707023085609E+21</v>
      </c>
    </row>
    <row r="310" spans="1:6" x14ac:dyDescent="0.2">
      <c r="A310">
        <f t="shared" si="39"/>
        <v>59.900000000000318</v>
      </c>
      <c r="B310">
        <f t="shared" si="34"/>
        <v>1.045452221944609</v>
      </c>
      <c r="C310">
        <f t="shared" si="35"/>
        <v>0.5015107371594526</v>
      </c>
      <c r="D310">
        <f t="shared" si="37"/>
        <v>0.86515142056970729</v>
      </c>
      <c r="E310">
        <f t="shared" si="38"/>
        <v>0.89415423683937068</v>
      </c>
      <c r="F310">
        <f t="shared" si="36"/>
        <v>1.2109156033078892E+21</v>
      </c>
    </row>
    <row r="311" spans="1:6" x14ac:dyDescent="0.2">
      <c r="A311">
        <f t="shared" si="39"/>
        <v>60.100000000000321</v>
      </c>
      <c r="B311">
        <f t="shared" si="34"/>
        <v>1.0489428804485976</v>
      </c>
      <c r="C311">
        <f t="shared" si="35"/>
        <v>0.49848773975382554</v>
      </c>
      <c r="D311">
        <f t="shared" si="37"/>
        <v>0.86689674893560553</v>
      </c>
      <c r="E311">
        <f t="shared" si="38"/>
        <v>0.89571176023941534</v>
      </c>
      <c r="F311">
        <f t="shared" si="36"/>
        <v>1.3177664923342327E+21</v>
      </c>
    </row>
    <row r="312" spans="1:6" x14ac:dyDescent="0.2">
      <c r="A312">
        <f t="shared" si="39"/>
        <v>60.300000000000324</v>
      </c>
      <c r="B312">
        <f t="shared" si="34"/>
        <v>1.0524335389525865</v>
      </c>
      <c r="C312">
        <f t="shared" si="35"/>
        <v>0.49545866843240249</v>
      </c>
      <c r="D312">
        <f t="shared" si="37"/>
        <v>0.86863151443819409</v>
      </c>
      <c r="E312">
        <f t="shared" si="38"/>
        <v>0.89725836967433092</v>
      </c>
      <c r="F312">
        <f t="shared" si="36"/>
        <v>1.4331963934985243E+21</v>
      </c>
    </row>
    <row r="313" spans="1:6" x14ac:dyDescent="0.2">
      <c r="A313">
        <f t="shared" si="39"/>
        <v>60.500000000000327</v>
      </c>
      <c r="B313">
        <f t="shared" si="34"/>
        <v>1.0559241974565752</v>
      </c>
      <c r="C313">
        <f t="shared" si="35"/>
        <v>0.49242356010346211</v>
      </c>
      <c r="D313">
        <f t="shared" si="37"/>
        <v>0.87035569593990247</v>
      </c>
      <c r="E313">
        <f t="shared" si="38"/>
        <v>0.89879404629916937</v>
      </c>
      <c r="F313">
        <f t="shared" si="36"/>
        <v>1.5578124489099151E+21</v>
      </c>
    </row>
    <row r="314" spans="1:6" x14ac:dyDescent="0.2">
      <c r="A314">
        <f t="shared" si="39"/>
        <v>60.70000000000033</v>
      </c>
      <c r="B314">
        <f t="shared" si="34"/>
        <v>1.0594148559605638</v>
      </c>
      <c r="C314">
        <f t="shared" si="35"/>
        <v>0.48938245174884121</v>
      </c>
      <c r="D314">
        <f t="shared" si="37"/>
        <v>0.8720692724321234</v>
      </c>
      <c r="E314">
        <f t="shared" si="38"/>
        <v>0.90031877140219596</v>
      </c>
      <c r="F314">
        <f t="shared" si="36"/>
        <v>1.6922573514630876E+21</v>
      </c>
    </row>
    <row r="315" spans="1:6" x14ac:dyDescent="0.2">
      <c r="A315">
        <f t="shared" si="39"/>
        <v>60.900000000000333</v>
      </c>
      <c r="B315">
        <f t="shared" si="34"/>
        <v>1.0629055144645525</v>
      </c>
      <c r="C315">
        <f t="shared" si="35"/>
        <v>0.48633538042348545</v>
      </c>
      <c r="D315">
        <f t="shared" si="37"/>
        <v>0.87377222303546809</v>
      </c>
      <c r="E315">
        <f t="shared" si="38"/>
        <v>0.90183252640511635</v>
      </c>
      <c r="F315">
        <f t="shared" si="36"/>
        <v>1.8372107867085584E+21</v>
      </c>
    </row>
    <row r="316" spans="1:6" x14ac:dyDescent="0.2">
      <c r="A316">
        <f t="shared" si="39"/>
        <v>61.100000000000335</v>
      </c>
      <c r="B316">
        <f t="shared" si="34"/>
        <v>1.0663961729685412</v>
      </c>
      <c r="C316">
        <f t="shared" si="35"/>
        <v>0.48328238325499728</v>
      </c>
      <c r="D316">
        <f t="shared" si="37"/>
        <v>0.87546452700002064</v>
      </c>
      <c r="E316">
        <f t="shared" si="38"/>
        <v>0.90333529286330327</v>
      </c>
      <c r="F316">
        <f t="shared" si="36"/>
        <v>1.9933908787618945E+21</v>
      </c>
    </row>
    <row r="317" spans="1:6" x14ac:dyDescent="0.2">
      <c r="A317">
        <f t="shared" si="39"/>
        <v>61.300000000000338</v>
      </c>
      <c r="B317">
        <f t="shared" si="34"/>
        <v>1.0698868314725301</v>
      </c>
      <c r="C317">
        <f t="shared" si="35"/>
        <v>0.48022349744318366</v>
      </c>
      <c r="D317">
        <f t="shared" si="37"/>
        <v>0.87714616370559162</v>
      </c>
      <c r="E317">
        <f t="shared" si="38"/>
        <v>0.90482705246602202</v>
      </c>
      <c r="F317">
        <f t="shared" si="36"/>
        <v>2.16155563473209E+21</v>
      </c>
    </row>
    <row r="318" spans="1:6" x14ac:dyDescent="0.2">
      <c r="A318">
        <f t="shared" si="39"/>
        <v>61.500000000000341</v>
      </c>
      <c r="B318">
        <f t="shared" si="34"/>
        <v>1.0733774899765187</v>
      </c>
      <c r="C318">
        <f t="shared" si="35"/>
        <v>0.47715876025960313</v>
      </c>
      <c r="D318">
        <f t="shared" si="37"/>
        <v>0.87881711266196827</v>
      </c>
      <c r="E318">
        <f t="shared" si="38"/>
        <v>0.90630778703665249</v>
      </c>
      <c r="F318">
        <f t="shared" si="36"/>
        <v>2.3425043816594266E+21</v>
      </c>
    </row>
    <row r="319" spans="1:6" x14ac:dyDescent="0.2">
      <c r="A319">
        <f t="shared" si="39"/>
        <v>61.700000000000344</v>
      </c>
      <c r="B319">
        <f t="shared" si="34"/>
        <v>1.0768681484805074</v>
      </c>
      <c r="C319">
        <f t="shared" si="35"/>
        <v>0.47408820904711096</v>
      </c>
      <c r="D319">
        <f t="shared" si="37"/>
        <v>0.88047735350916478</v>
      </c>
      <c r="E319">
        <f t="shared" si="38"/>
        <v>0.90777747853291102</v>
      </c>
      <c r="F319">
        <f t="shared" si="36"/>
        <v>2.537079189453424E+21</v>
      </c>
    </row>
    <row r="320" spans="1:6" x14ac:dyDescent="0.2">
      <c r="A320">
        <f t="shared" si="39"/>
        <v>61.900000000000347</v>
      </c>
      <c r="B320">
        <f t="shared" si="34"/>
        <v>1.080358806984496</v>
      </c>
      <c r="C320">
        <f t="shared" si="35"/>
        <v>0.47101188121940468</v>
      </c>
      <c r="D320">
        <f t="shared" si="37"/>
        <v>0.88212686601767065</v>
      </c>
      <c r="E320">
        <f t="shared" si="38"/>
        <v>0.90923610904707097</v>
      </c>
      <c r="F320">
        <f t="shared" si="36"/>
        <v>2.7461662728108476E+21</v>
      </c>
    </row>
    <row r="321" spans="1:6" x14ac:dyDescent="0.2">
      <c r="A321">
        <f t="shared" si="39"/>
        <v>62.10000000000035</v>
      </c>
      <c r="B321">
        <f t="shared" si="34"/>
        <v>1.0838494654884847</v>
      </c>
      <c r="C321">
        <f t="shared" si="35"/>
        <v>0.46792981426056807</v>
      </c>
      <c r="D321">
        <f t="shared" si="37"/>
        <v>0.88376563008869624</v>
      </c>
      <c r="E321">
        <f t="shared" si="38"/>
        <v>0.91068366080617957</v>
      </c>
      <c r="F321">
        <f t="shared" si="36"/>
        <v>2.970697364577409E+21</v>
      </c>
    </row>
    <row r="322" spans="1:6" x14ac:dyDescent="0.2">
      <c r="A322">
        <f t="shared" si="39"/>
        <v>62.300000000000352</v>
      </c>
      <c r="B322">
        <f t="shared" si="34"/>
        <v>1.0873401239924736</v>
      </c>
      <c r="C322">
        <f t="shared" si="35"/>
        <v>0.46484204572461407</v>
      </c>
      <c r="D322">
        <f t="shared" si="37"/>
        <v>0.88539362575441882</v>
      </c>
      <c r="E322">
        <f t="shared" si="38"/>
        <v>0.91212011617227562</v>
      </c>
      <c r="F322">
        <f t="shared" si="36"/>
        <v>3.2116510524962599E+21</v>
      </c>
    </row>
    <row r="323" spans="1:6" x14ac:dyDescent="0.2">
      <c r="A323">
        <f t="shared" si="39"/>
        <v>62.500000000000355</v>
      </c>
      <c r="B323">
        <f t="shared" si="34"/>
        <v>1.0908307824964623</v>
      </c>
      <c r="C323">
        <f t="shared" si="35"/>
        <v>0.46174861323502836</v>
      </c>
      <c r="D323">
        <f t="shared" si="37"/>
        <v>0.8870108331782246</v>
      </c>
      <c r="E323">
        <f t="shared" si="38"/>
        <v>0.91354545764260342</v>
      </c>
      <c r="F323">
        <f t="shared" si="36"/>
        <v>3.4700540707628636E+21</v>
      </c>
    </row>
    <row r="324" spans="1:6" x14ac:dyDescent="0.2">
      <c r="A324">
        <f t="shared" si="39"/>
        <v>62.700000000000358</v>
      </c>
      <c r="B324">
        <f t="shared" si="34"/>
        <v>1.0943214410004509</v>
      </c>
      <c r="C324">
        <f t="shared" si="35"/>
        <v>0.45864955448430939</v>
      </c>
      <c r="D324">
        <f t="shared" si="37"/>
        <v>0.88861723265495174</v>
      </c>
      <c r="E324">
        <f t="shared" si="38"/>
        <v>0.9149596678498273</v>
      </c>
      <c r="F324">
        <f t="shared" si="36"/>
        <v>3.7469825372861948E+21</v>
      </c>
    </row>
    <row r="325" spans="1:6" x14ac:dyDescent="0.2">
      <c r="A325">
        <f t="shared" si="39"/>
        <v>62.900000000000361</v>
      </c>
      <c r="B325">
        <f t="shared" si="34"/>
        <v>1.0978120995044396</v>
      </c>
      <c r="C325">
        <f t="shared" si="35"/>
        <v>0.45554490723350993</v>
      </c>
      <c r="D325">
        <f t="shared" si="37"/>
        <v>0.89021280461112939</v>
      </c>
      <c r="E325">
        <f t="shared" si="38"/>
        <v>0.91636272956224207</v>
      </c>
      <c r="F325">
        <f t="shared" si="36"/>
        <v>4.0435631270388386E+21</v>
      </c>
    </row>
    <row r="326" spans="1:6" x14ac:dyDescent="0.2">
      <c r="A326">
        <f t="shared" si="39"/>
        <v>63.100000000000364</v>
      </c>
      <c r="B326">
        <f t="shared" si="34"/>
        <v>1.1013027580084283</v>
      </c>
      <c r="C326">
        <f t="shared" si="35"/>
        <v>0.45243470931177709</v>
      </c>
      <c r="D326">
        <f t="shared" si="37"/>
        <v>0.89179752960521697</v>
      </c>
      <c r="E326">
        <f t="shared" si="38"/>
        <v>0.91775462568398369</v>
      </c>
      <c r="F326">
        <f t="shared" si="36"/>
        <v>4.3609741713731874E+21</v>
      </c>
    </row>
    <row r="327" spans="1:6" x14ac:dyDescent="0.2">
      <c r="A327">
        <f t="shared" si="39"/>
        <v>63.300000000000367</v>
      </c>
      <c r="B327">
        <f t="shared" si="34"/>
        <v>1.1047934165124169</v>
      </c>
      <c r="C327">
        <f t="shared" si="35"/>
        <v>0.44931899861589097</v>
      </c>
      <c r="D327">
        <f t="shared" si="37"/>
        <v>0.89337138832784035</v>
      </c>
      <c r="E327">
        <f t="shared" si="38"/>
        <v>0.91913533925523683</v>
      </c>
      <c r="F327">
        <f t="shared" si="36"/>
        <v>4.7004466726829629E+21</v>
      </c>
    </row>
    <row r="328" spans="1:6" x14ac:dyDescent="0.2">
      <c r="A328">
        <f t="shared" si="39"/>
        <v>63.500000000000369</v>
      </c>
      <c r="B328">
        <f t="shared" si="34"/>
        <v>1.1082840750164058</v>
      </c>
      <c r="C328">
        <f t="shared" si="35"/>
        <v>0.44619781310980294</v>
      </c>
      <c r="D328">
        <f t="shared" si="37"/>
        <v>0.89493436160202799</v>
      </c>
      <c r="E328">
        <f t="shared" si="38"/>
        <v>0.92050485345244282</v>
      </c>
      <c r="F328">
        <f t="shared" si="36"/>
        <v>5.0632652233154924E+21</v>
      </c>
    </row>
    <row r="329" spans="1:6" x14ac:dyDescent="0.2">
      <c r="A329">
        <f t="shared" si="39"/>
        <v>63.700000000000372</v>
      </c>
      <c r="B329">
        <f t="shared" si="34"/>
        <v>1.1117747335203945</v>
      </c>
      <c r="C329">
        <f t="shared" si="35"/>
        <v>0.44307119082417384</v>
      </c>
      <c r="D329">
        <f t="shared" si="37"/>
        <v>0.89648643038344344</v>
      </c>
      <c r="E329">
        <f t="shared" si="38"/>
        <v>0.92186315158850307</v>
      </c>
      <c r="F329">
        <f t="shared" si="36"/>
        <v>5.4507688171766431E+21</v>
      </c>
    </row>
    <row r="330" spans="1:6" x14ac:dyDescent="0.2">
      <c r="A330">
        <f t="shared" si="39"/>
        <v>63.900000000000375</v>
      </c>
      <c r="B330">
        <f t="shared" si="34"/>
        <v>1.1152653920243831</v>
      </c>
      <c r="C330">
        <f t="shared" si="35"/>
        <v>0.43993916985590931</v>
      </c>
      <c r="D330">
        <f t="shared" si="37"/>
        <v>0.89802757576061853</v>
      </c>
      <c r="E330">
        <f t="shared" si="38"/>
        <v>0.92321021711298334</v>
      </c>
      <c r="F330">
        <f t="shared" si="36"/>
        <v>5.8643515420447752E+21</v>
      </c>
    </row>
    <row r="331" spans="1:6" x14ac:dyDescent="0.2">
      <c r="A331">
        <f t="shared" si="39"/>
        <v>64.100000000000378</v>
      </c>
      <c r="B331">
        <f t="shared" ref="B331:B394" si="40">A331*PI()/180</f>
        <v>1.1187560505283718</v>
      </c>
      <c r="C331">
        <f t="shared" ref="C331:C394" si="41">COS(B331)</f>
        <v>0.43680178836769634</v>
      </c>
      <c r="D331">
        <f t="shared" si="37"/>
        <v>0.89955777895518318</v>
      </c>
      <c r="E331">
        <f t="shared" si="38"/>
        <v>0.92454603361231558</v>
      </c>
      <c r="F331">
        <f t="shared" ref="F331:F394" si="42">EXP(E331*$C$5*$C$6^2/($C$3*$C$2))</f>
        <v>6.3054631402029145E+21</v>
      </c>
    </row>
    <row r="332" spans="1:6" x14ac:dyDescent="0.2">
      <c r="A332">
        <f t="shared" si="39"/>
        <v>64.300000000000381</v>
      </c>
      <c r="B332">
        <f t="shared" si="40"/>
        <v>1.1222467090323605</v>
      </c>
      <c r="C332">
        <f t="shared" si="41"/>
        <v>0.43365908458753843</v>
      </c>
      <c r="D332">
        <f t="shared" si="37"/>
        <v>0.90107702132209444</v>
      </c>
      <c r="E332">
        <f t="shared" si="38"/>
        <v>0.92587058480999718</v>
      </c>
      <c r="F332">
        <f t="shared" si="42"/>
        <v>6.7756094246340096E+21</v>
      </c>
    </row>
    <row r="333" spans="1:6" x14ac:dyDescent="0.2">
      <c r="A333">
        <f t="shared" si="39"/>
        <v>64.500000000000384</v>
      </c>
      <c r="B333">
        <f t="shared" si="40"/>
        <v>1.1257373675363493</v>
      </c>
      <c r="C333">
        <f t="shared" si="41"/>
        <v>0.43051109680828903</v>
      </c>
      <c r="D333">
        <f t="shared" si="37"/>
        <v>0.90258528434986351</v>
      </c>
      <c r="E333">
        <f t="shared" si="38"/>
        <v>0.92718385456678987</v>
      </c>
      <c r="F333">
        <f t="shared" si="42"/>
        <v>7.2763525376994601E+21</v>
      </c>
    </row>
    <row r="334" spans="1:6" x14ac:dyDescent="0.2">
      <c r="A334">
        <f t="shared" si="39"/>
        <v>64.700000000000387</v>
      </c>
      <c r="B334">
        <f t="shared" si="40"/>
        <v>1.129228026040338</v>
      </c>
      <c r="C334">
        <f t="shared" si="41"/>
        <v>0.42735786338718629</v>
      </c>
      <c r="D334">
        <f t="shared" si="37"/>
        <v>0.90408254966078128</v>
      </c>
      <c r="E334">
        <f t="shared" si="38"/>
        <v>0.92848582688091597</v>
      </c>
      <c r="F334">
        <f t="shared" si="42"/>
        <v>7.8093110389354602E+21</v>
      </c>
    </row>
    <row r="335" spans="1:6" x14ac:dyDescent="0.2">
      <c r="A335">
        <f t="shared" si="39"/>
        <v>64.900000000000389</v>
      </c>
      <c r="B335">
        <f t="shared" si="40"/>
        <v>1.1327186845443267</v>
      </c>
      <c r="C335">
        <f t="shared" si="41"/>
        <v>0.42419942274538408</v>
      </c>
      <c r="D335">
        <f t="shared" si="37"/>
        <v>0.90556879901114251</v>
      </c>
      <c r="E335">
        <f t="shared" si="38"/>
        <v>0.9297764858882539</v>
      </c>
      <c r="F335">
        <f t="shared" si="42"/>
        <v>8.3761598083777283E+21</v>
      </c>
    </row>
    <row r="336" spans="1:6" x14ac:dyDescent="0.2">
      <c r="A336">
        <f t="shared" si="39"/>
        <v>65.100000000000392</v>
      </c>
      <c r="B336">
        <f t="shared" si="40"/>
        <v>1.1362093430483153</v>
      </c>
      <c r="C336">
        <f t="shared" si="41"/>
        <v>0.42103581336748486</v>
      </c>
      <c r="D336">
        <f t="shared" si="37"/>
        <v>0.90704401429146786</v>
      </c>
      <c r="E336">
        <f t="shared" si="38"/>
        <v>0.93105581586253083</v>
      </c>
      <c r="F336">
        <f t="shared" si="42"/>
        <v>8.9786297516472433E+21</v>
      </c>
    </row>
    <row r="337" spans="1:6" x14ac:dyDescent="0.2">
      <c r="A337">
        <f t="shared" si="39"/>
        <v>65.300000000000395</v>
      </c>
      <c r="B337">
        <f t="shared" si="40"/>
        <v>1.139700001552304</v>
      </c>
      <c r="C337">
        <f t="shared" si="41"/>
        <v>0.41786707380107058</v>
      </c>
      <c r="D337">
        <f t="shared" si="37"/>
        <v>0.90850817752672464</v>
      </c>
      <c r="E337">
        <f t="shared" si="38"/>
        <v>0.93232380121551461</v>
      </c>
      <c r="F337">
        <f t="shared" si="42"/>
        <v>9.6185072929203426E+21</v>
      </c>
    </row>
    <row r="338" spans="1:6" x14ac:dyDescent="0.2">
      <c r="A338">
        <f t="shared" si="39"/>
        <v>65.500000000000398</v>
      </c>
      <c r="B338">
        <f t="shared" si="40"/>
        <v>1.1431906600562929</v>
      </c>
      <c r="C338">
        <f t="shared" si="41"/>
        <v>0.41469324265623264</v>
      </c>
      <c r="D338">
        <f t="shared" si="37"/>
        <v>0.9099612708765461</v>
      </c>
      <c r="E338">
        <f t="shared" si="38"/>
        <v>0.93358042649720419</v>
      </c>
      <c r="F338">
        <f t="shared" si="42"/>
        <v>1.0297633641861829E+22</v>
      </c>
    </row>
    <row r="339" spans="1:6" x14ac:dyDescent="0.2">
      <c r="A339">
        <f t="shared" si="39"/>
        <v>65.700000000000401</v>
      </c>
      <c r="B339">
        <f t="shared" si="40"/>
        <v>1.1466813185602815</v>
      </c>
      <c r="C339">
        <f t="shared" si="41"/>
        <v>0.41151435860510238</v>
      </c>
      <c r="D339">
        <f t="shared" si="37"/>
        <v>0.91140327663544818</v>
      </c>
      <c r="E339">
        <f t="shared" si="38"/>
        <v>0.93482567639601699</v>
      </c>
      <c r="F339">
        <f t="shared" si="42"/>
        <v>1.1017903820628505E+22</v>
      </c>
    </row>
    <row r="340" spans="1:6" x14ac:dyDescent="0.2">
      <c r="A340">
        <f t="shared" si="39"/>
        <v>65.900000000000404</v>
      </c>
      <c r="B340">
        <f t="shared" si="40"/>
        <v>1.1501719770642702</v>
      </c>
      <c r="C340">
        <f t="shared" si="41"/>
        <v>0.40833046038137849</v>
      </c>
      <c r="D340">
        <f t="shared" si="37"/>
        <v>0.91283417723304572</v>
      </c>
      <c r="E340">
        <f t="shared" si="38"/>
        <v>0.93605953573897571</v>
      </c>
      <c r="F340">
        <f t="shared" si="42"/>
        <v>1.1781265437156566E+22</v>
      </c>
    </row>
    <row r="341" spans="1:6" x14ac:dyDescent="0.2">
      <c r="A341">
        <f t="shared" si="39"/>
        <v>66.100000000000406</v>
      </c>
      <c r="B341">
        <f t="shared" si="40"/>
        <v>1.1536626355682589</v>
      </c>
      <c r="C341">
        <f t="shared" si="41"/>
        <v>0.40514158677985612</v>
      </c>
      <c r="D341">
        <f t="shared" ref="D341:D404" si="43">SIN(B341)</f>
        <v>0.91425395523426656</v>
      </c>
      <c r="E341">
        <f t="shared" ref="E341:E404" si="44">C341*$E$7+D341*$F$7</f>
        <v>0.9372819894918939</v>
      </c>
      <c r="F341">
        <f t="shared" si="42"/>
        <v>1.2589717191141116E+22</v>
      </c>
    </row>
    <row r="342" spans="1:6" x14ac:dyDescent="0.2">
      <c r="A342">
        <f t="shared" si="39"/>
        <v>66.300000000000409</v>
      </c>
      <c r="B342">
        <f t="shared" si="40"/>
        <v>1.1571532940722475</v>
      </c>
      <c r="C342">
        <f t="shared" si="41"/>
        <v>0.40194777665595371</v>
      </c>
      <c r="D342">
        <f t="shared" si="43"/>
        <v>0.9156625933395639</v>
      </c>
      <c r="E342">
        <f t="shared" si="44"/>
        <v>0.93849302275955826</v>
      </c>
      <c r="F342">
        <f t="shared" si="42"/>
        <v>1.3445307099386158E+22</v>
      </c>
    </row>
    <row r="343" spans="1:6" x14ac:dyDescent="0.2">
      <c r="A343">
        <f t="shared" si="39"/>
        <v>66.500000000000412</v>
      </c>
      <c r="B343">
        <f t="shared" si="40"/>
        <v>1.1606439525762362</v>
      </c>
      <c r="C343">
        <f t="shared" si="41"/>
        <v>0.39874906892523976</v>
      </c>
      <c r="D343">
        <f t="shared" si="43"/>
        <v>0.91706007438512682</v>
      </c>
      <c r="E343">
        <f t="shared" si="44"/>
        <v>0.93969262078591076</v>
      </c>
      <c r="F343">
        <f t="shared" si="42"/>
        <v>1.4350130427588518E+22</v>
      </c>
    </row>
    <row r="344" spans="1:6" x14ac:dyDescent="0.2">
      <c r="A344">
        <f t="shared" si="39"/>
        <v>66.700000000000415</v>
      </c>
      <c r="B344">
        <f t="shared" si="40"/>
        <v>1.1641346110802251</v>
      </c>
      <c r="C344">
        <f t="shared" si="41"/>
        <v>0.39554550256295828</v>
      </c>
      <c r="D344">
        <f t="shared" si="43"/>
        <v>0.91844638134309009</v>
      </c>
      <c r="E344">
        <f t="shared" si="44"/>
        <v>0.9408807689542279</v>
      </c>
      <c r="F344">
        <f t="shared" si="42"/>
        <v>1.5306327316077539E+22</v>
      </c>
    </row>
    <row r="345" spans="1:6" x14ac:dyDescent="0.2">
      <c r="A345">
        <f t="shared" si="39"/>
        <v>66.900000000000418</v>
      </c>
      <c r="B345">
        <f t="shared" si="40"/>
        <v>1.1676252695842138</v>
      </c>
      <c r="C345">
        <f t="shared" si="41"/>
        <v>0.3923371166035548</v>
      </c>
      <c r="D345">
        <f t="shared" si="43"/>
        <v>0.91982149732174046</v>
      </c>
      <c r="E345">
        <f t="shared" si="44"/>
        <v>0.94205745278729913</v>
      </c>
      <c r="F345">
        <f t="shared" si="42"/>
        <v>1.6316080087613208E+22</v>
      </c>
    </row>
    <row r="346" spans="1:6" x14ac:dyDescent="0.2">
      <c r="A346">
        <f t="shared" si="39"/>
        <v>67.100000000000421</v>
      </c>
      <c r="B346">
        <f t="shared" si="40"/>
        <v>1.1711159280882024</v>
      </c>
      <c r="C346">
        <f t="shared" si="41"/>
        <v>0.38912395014019957</v>
      </c>
      <c r="D346">
        <f t="shared" si="43"/>
        <v>0.92118540556572404</v>
      </c>
      <c r="E346">
        <f t="shared" si="44"/>
        <v>0.94322265794760329</v>
      </c>
      <c r="F346">
        <f t="shared" si="42"/>
        <v>1.7381610226024152E+22</v>
      </c>
    </row>
    <row r="347" spans="1:6" x14ac:dyDescent="0.2">
      <c r="A347">
        <f t="shared" si="39"/>
        <v>67.300000000000423</v>
      </c>
      <c r="B347">
        <f t="shared" si="40"/>
        <v>1.1746065865921911</v>
      </c>
      <c r="C347">
        <f t="shared" si="41"/>
        <v>0.38590604232431192</v>
      </c>
      <c r="D347">
        <f t="shared" si="43"/>
        <v>0.92253808945624916</v>
      </c>
      <c r="E347">
        <f t="shared" si="44"/>
        <v>0.94437637023748333</v>
      </c>
      <c r="F347">
        <f t="shared" si="42"/>
        <v>1.8505175015248812E+22</v>
      </c>
    </row>
    <row r="348" spans="1:6" x14ac:dyDescent="0.2">
      <c r="A348">
        <f t="shared" si="39"/>
        <v>67.500000000000426</v>
      </c>
      <c r="B348">
        <f t="shared" si="40"/>
        <v>1.1780972450961797</v>
      </c>
      <c r="C348">
        <f t="shared" si="41"/>
        <v>0.38268343236508306</v>
      </c>
      <c r="D348">
        <f t="shared" si="43"/>
        <v>0.92387953251128951</v>
      </c>
      <c r="E348">
        <f t="shared" si="44"/>
        <v>0.94551857559931907</v>
      </c>
      <c r="F348">
        <f t="shared" si="42"/>
        <v>1.9689063829251916E+22</v>
      </c>
    </row>
    <row r="349" spans="1:6" x14ac:dyDescent="0.2">
      <c r="A349">
        <f t="shared" si="39"/>
        <v>67.700000000000429</v>
      </c>
      <c r="B349">
        <f t="shared" si="40"/>
        <v>1.1815879036001686</v>
      </c>
      <c r="C349">
        <f t="shared" si="41"/>
        <v>0.37945615952899814</v>
      </c>
      <c r="D349">
        <f t="shared" si="43"/>
        <v>0.92520971838578492</v>
      </c>
      <c r="E349">
        <f t="shared" si="44"/>
        <v>0.94664926011569872</v>
      </c>
      <c r="F349">
        <f t="shared" si="42"/>
        <v>2.0935594064301611E+22</v>
      </c>
    </row>
    <row r="350" spans="1:6" x14ac:dyDescent="0.2">
      <c r="A350">
        <f t="shared" si="39"/>
        <v>67.900000000000432</v>
      </c>
      <c r="B350">
        <f t="shared" si="40"/>
        <v>1.1850785621041573</v>
      </c>
      <c r="C350">
        <f t="shared" si="41"/>
        <v>0.37622426313935864</v>
      </c>
      <c r="D350">
        <f t="shared" si="43"/>
        <v>0.92652863087184012</v>
      </c>
      <c r="E350">
        <f t="shared" si="44"/>
        <v>0.947768410009588</v>
      </c>
      <c r="F350">
        <f t="shared" si="42"/>
        <v>2.2247106706219439E+22</v>
      </c>
    </row>
    <row r="351" spans="1:6" x14ac:dyDescent="0.2">
      <c r="A351">
        <f t="shared" si="39"/>
        <v>68.100000000000435</v>
      </c>
      <c r="B351">
        <f t="shared" si="40"/>
        <v>1.188569220608146</v>
      </c>
      <c r="C351">
        <f t="shared" si="41"/>
        <v>0.37298778257580195</v>
      </c>
      <c r="D351">
        <f t="shared" si="43"/>
        <v>0.92783625389892277</v>
      </c>
      <c r="E351">
        <f t="shared" si="44"/>
        <v>0.94887601164449886</v>
      </c>
      <c r="F351">
        <f t="shared" si="42"/>
        <v>2.3625961526475331E+22</v>
      </c>
    </row>
    <row r="352" spans="1:6" x14ac:dyDescent="0.2">
      <c r="A352">
        <f t="shared" si="39"/>
        <v>68.300000000000438</v>
      </c>
      <c r="B352">
        <f t="shared" si="40"/>
        <v>1.1920598791121346</v>
      </c>
      <c r="C352">
        <f t="shared" si="41"/>
        <v>0.36974675727382234</v>
      </c>
      <c r="D352">
        <f t="shared" si="43"/>
        <v>0.92913257153405893</v>
      </c>
      <c r="E352">
        <f t="shared" si="44"/>
        <v>0.9499720515246548</v>
      </c>
      <c r="F352">
        <f t="shared" si="42"/>
        <v>2.5074531902352962E+22</v>
      </c>
    </row>
    <row r="353" spans="1:6" x14ac:dyDescent="0.2">
      <c r="A353">
        <f t="shared" si="39"/>
        <v>68.500000000000441</v>
      </c>
      <c r="B353">
        <f t="shared" si="40"/>
        <v>1.1955505376161233</v>
      </c>
      <c r="C353">
        <f t="shared" si="41"/>
        <v>0.36650122672429025</v>
      </c>
      <c r="D353">
        <f t="shared" si="43"/>
        <v>0.93041756798202724</v>
      </c>
      <c r="E353">
        <f t="shared" si="44"/>
        <v>0.95105651629515575</v>
      </c>
      <c r="F353">
        <f t="shared" si="42"/>
        <v>2.6595199257909393E+22</v>
      </c>
    </row>
    <row r="354" spans="1:6" x14ac:dyDescent="0.2">
      <c r="A354">
        <f t="shared" si="39"/>
        <v>68.700000000000443</v>
      </c>
      <c r="B354">
        <f t="shared" si="40"/>
        <v>1.1990411961201122</v>
      </c>
      <c r="C354">
        <f t="shared" si="41"/>
        <v>0.36325123047297114</v>
      </c>
      <c r="D354">
        <f t="shared" si="43"/>
        <v>0.93169122758555178</v>
      </c>
      <c r="E354">
        <f t="shared" si="44"/>
        <v>0.95212939274214103</v>
      </c>
      <c r="F354">
        <f t="shared" si="42"/>
        <v>2.8190347124039435E+22</v>
      </c>
    </row>
    <row r="355" spans="1:6" x14ac:dyDescent="0.2">
      <c r="A355">
        <f t="shared" si="39"/>
        <v>68.900000000000446</v>
      </c>
      <c r="B355">
        <f t="shared" si="40"/>
        <v>1.2025318546241008</v>
      </c>
      <c r="C355">
        <f t="shared" si="41"/>
        <v>0.35999680812004398</v>
      </c>
      <c r="D355">
        <f t="shared" si="43"/>
        <v>0.93295353482549181</v>
      </c>
      <c r="E355">
        <f t="shared" si="44"/>
        <v>0.95319066779294925</v>
      </c>
      <c r="F355">
        <f t="shared" si="42"/>
        <v>2.9862354817677106E+22</v>
      </c>
    </row>
    <row r="356" spans="1:6" x14ac:dyDescent="0.2">
      <c r="A356">
        <f t="shared" si="39"/>
        <v>69.100000000000449</v>
      </c>
      <c r="B356">
        <f t="shared" si="40"/>
        <v>1.2060225131280895</v>
      </c>
      <c r="C356">
        <f t="shared" si="41"/>
        <v>0.35673799931961797</v>
      </c>
      <c r="D356">
        <f t="shared" si="43"/>
        <v>0.93420447432103226</v>
      </c>
      <c r="E356">
        <f t="shared" si="44"/>
        <v>0.95424032851627916</v>
      </c>
      <c r="F356">
        <f t="shared" si="42"/>
        <v>3.1613590741987052E+22</v>
      </c>
    </row>
    <row r="357" spans="1:6" x14ac:dyDescent="0.2">
      <c r="A357">
        <f>A356+0.2</f>
        <v>69.300000000000452</v>
      </c>
      <c r="B357">
        <f t="shared" si="40"/>
        <v>1.2095131716320782</v>
      </c>
      <c r="C357">
        <f t="shared" si="41"/>
        <v>0.35347484377924987</v>
      </c>
      <c r="D357">
        <f t="shared" si="43"/>
        <v>0.93544403082987004</v>
      </c>
      <c r="E357">
        <f t="shared" si="44"/>
        <v>0.95527836212234596</v>
      </c>
      <c r="F357">
        <f t="shared" si="42"/>
        <v>3.3446405311322909E+22</v>
      </c>
    </row>
    <row r="358" spans="1:6" x14ac:dyDescent="0.2">
      <c r="A358">
        <f t="shared" ref="A358:A421" si="45">A357+0.2</f>
        <v>69.500000000000455</v>
      </c>
      <c r="B358">
        <f t="shared" si="40"/>
        <v>1.2130038301360668</v>
      </c>
      <c r="C358">
        <f t="shared" si="41"/>
        <v>0.35020738125946016</v>
      </c>
      <c r="D358">
        <f t="shared" si="43"/>
        <v>0.93667218924840034</v>
      </c>
      <c r="E358">
        <f t="shared" si="44"/>
        <v>0.95630475596303766</v>
      </c>
      <c r="F358">
        <f t="shared" si="42"/>
        <v>3.5363123506770325E+22</v>
      </c>
    </row>
    <row r="359" spans="1:6" x14ac:dyDescent="0.2">
      <c r="A359">
        <f t="shared" si="45"/>
        <v>69.700000000000458</v>
      </c>
      <c r="B359">
        <f t="shared" si="40"/>
        <v>1.2164944886400557</v>
      </c>
      <c r="C359">
        <f t="shared" si="41"/>
        <v>0.34693565157324835</v>
      </c>
      <c r="D359">
        <f t="shared" si="43"/>
        <v>0.93788893461190037</v>
      </c>
      <c r="E359">
        <f t="shared" si="44"/>
        <v>0.95731949753206946</v>
      </c>
      <c r="F359">
        <f t="shared" si="42"/>
        <v>3.736603707020491E+22</v>
      </c>
    </row>
    <row r="360" spans="1:6" x14ac:dyDescent="0.2">
      <c r="A360">
        <f t="shared" si="45"/>
        <v>69.90000000000046</v>
      </c>
      <c r="B360">
        <f t="shared" si="40"/>
        <v>1.2199851471440444</v>
      </c>
      <c r="C360">
        <f t="shared" si="41"/>
        <v>0.34365969458560852</v>
      </c>
      <c r="D360">
        <f t="shared" si="43"/>
        <v>0.93909425209471187</v>
      </c>
      <c r="E360">
        <f t="shared" si="44"/>
        <v>0.95832257446513547</v>
      </c>
      <c r="F360">
        <f t="shared" si="42"/>
        <v>3.9457396347015558E+22</v>
      </c>
    </row>
    <row r="361" spans="1:6" x14ac:dyDescent="0.2">
      <c r="A361">
        <f t="shared" si="45"/>
        <v>70.100000000000463</v>
      </c>
      <c r="B361">
        <f t="shared" si="40"/>
        <v>1.223475805648033</v>
      </c>
      <c r="C361">
        <f t="shared" si="41"/>
        <v>0.34037955021304261</v>
      </c>
      <c r="D361">
        <f t="shared" si="43"/>
        <v>0.94028812701042164</v>
      </c>
      <c r="E361">
        <f t="shared" si="44"/>
        <v>0.95931397454005973</v>
      </c>
      <c r="F361">
        <f t="shared" si="42"/>
        <v>4.1639401789928889E+22</v>
      </c>
    </row>
    <row r="362" spans="1:6" x14ac:dyDescent="0.2">
      <c r="A362">
        <f t="shared" si="45"/>
        <v>70.300000000000466</v>
      </c>
      <c r="B362">
        <f t="shared" si="40"/>
        <v>1.2269664641520217</v>
      </c>
      <c r="C362">
        <f t="shared" si="41"/>
        <v>0.33709525842307453</v>
      </c>
      <c r="D362">
        <f t="shared" si="43"/>
        <v>0.94147054481204062</v>
      </c>
      <c r="E362">
        <f t="shared" si="44"/>
        <v>0.96029368567694529</v>
      </c>
      <c r="F362">
        <f t="shared" si="42"/>
        <v>4.3914195138736384E+22</v>
      </c>
    </row>
    <row r="363" spans="1:6" x14ac:dyDescent="0.2">
      <c r="A363">
        <f t="shared" si="45"/>
        <v>70.500000000000469</v>
      </c>
      <c r="B363">
        <f t="shared" si="40"/>
        <v>1.2304571226560104</v>
      </c>
      <c r="C363">
        <f t="shared" si="41"/>
        <v>0.33380685923376335</v>
      </c>
      <c r="D363">
        <f t="shared" si="43"/>
        <v>0.94264149109218109</v>
      </c>
      <c r="E363">
        <f t="shared" si="44"/>
        <v>0.961261695938321</v>
      </c>
      <c r="F363">
        <f t="shared" si="42"/>
        <v>4.6283850293143381E+22</v>
      </c>
    </row>
    <row r="364" spans="1:6" x14ac:dyDescent="0.2">
      <c r="A364">
        <f t="shared" si="45"/>
        <v>70.700000000000472</v>
      </c>
      <c r="B364">
        <f t="shared" si="40"/>
        <v>1.233947781159999</v>
      </c>
      <c r="C364">
        <f t="shared" si="41"/>
        <v>0.33051439271321548</v>
      </c>
      <c r="D364">
        <f t="shared" si="43"/>
        <v>0.94380095158323207</v>
      </c>
      <c r="E364">
        <f t="shared" si="44"/>
        <v>0.9622179935292875</v>
      </c>
      <c r="F364">
        <f t="shared" si="42"/>
        <v>4.8750363898418869E+22</v>
      </c>
    </row>
    <row r="365" spans="1:6" x14ac:dyDescent="0.2">
      <c r="A365">
        <f t="shared" si="45"/>
        <v>70.900000000000475</v>
      </c>
      <c r="B365">
        <f t="shared" si="40"/>
        <v>1.2374384396639879</v>
      </c>
      <c r="C365">
        <f t="shared" si="41"/>
        <v>0.32721789897909614</v>
      </c>
      <c r="D365">
        <f t="shared" si="43"/>
        <v>0.94494891215753352</v>
      </c>
      <c r="E365">
        <f t="shared" si="44"/>
        <v>0.96316256679766032</v>
      </c>
      <c r="F365">
        <f t="shared" si="42"/>
        <v>5.1315645666043764E+22</v>
      </c>
    </row>
    <row r="366" spans="1:6" x14ac:dyDescent="0.2">
      <c r="A366">
        <f t="shared" si="45"/>
        <v>71.100000000000477</v>
      </c>
      <c r="B366">
        <f t="shared" si="40"/>
        <v>1.2409290981679766</v>
      </c>
      <c r="C366">
        <f t="shared" si="41"/>
        <v>0.32391741819814163</v>
      </c>
      <c r="D366">
        <f t="shared" si="43"/>
        <v>0.94608535882754796</v>
      </c>
      <c r="E366">
        <f t="shared" si="44"/>
        <v>0.96409540423411222</v>
      </c>
      <c r="F366">
        <f t="shared" si="42"/>
        <v>5.3981508454065138E+22</v>
      </c>
    </row>
    <row r="367" spans="1:6" x14ac:dyDescent="0.2">
      <c r="A367">
        <f t="shared" si="45"/>
        <v>71.30000000000048</v>
      </c>
      <c r="B367">
        <f t="shared" si="40"/>
        <v>1.2444197566719652</v>
      </c>
      <c r="C367">
        <f t="shared" si="41"/>
        <v>0.32061299058566844</v>
      </c>
      <c r="D367">
        <f t="shared" si="43"/>
        <v>0.9472102777460315</v>
      </c>
      <c r="E367">
        <f t="shared" si="44"/>
        <v>0.96501649447231352</v>
      </c>
      <c r="F367">
        <f t="shared" si="42"/>
        <v>5.6749658134409369E+22</v>
      </c>
    </row>
    <row r="368" spans="1:6" x14ac:dyDescent="0.2">
      <c r="A368">
        <f t="shared" si="45"/>
        <v>71.500000000000483</v>
      </c>
      <c r="B368">
        <f t="shared" si="40"/>
        <v>1.2479104151759539</v>
      </c>
      <c r="C368">
        <f t="shared" si="41"/>
        <v>0.31730465640508432</v>
      </c>
      <c r="D368">
        <f t="shared" si="43"/>
        <v>0.94832365520620199</v>
      </c>
      <c r="E368">
        <f t="shared" si="44"/>
        <v>0.96592582628907042</v>
      </c>
      <c r="F368">
        <f t="shared" si="42"/>
        <v>5.9621683276911951E+22</v>
      </c>
    </row>
    <row r="369" spans="1:6" x14ac:dyDescent="0.2">
      <c r="A369">
        <f t="shared" si="45"/>
        <v>71.700000000000486</v>
      </c>
      <c r="B369">
        <f t="shared" si="40"/>
        <v>1.2514010736799426</v>
      </c>
      <c r="C369">
        <f t="shared" si="41"/>
        <v>0.31399245596739711</v>
      </c>
      <c r="D369">
        <f t="shared" si="43"/>
        <v>0.94942547764190643</v>
      </c>
      <c r="E369">
        <f t="shared" si="44"/>
        <v>0.96682338860446138</v>
      </c>
      <c r="F369">
        <f t="shared" si="42"/>
        <v>6.2599044682350047E+22</v>
      </c>
    </row>
    <row r="370" spans="1:6" x14ac:dyDescent="0.2">
      <c r="A370">
        <f t="shared" si="45"/>
        <v>71.900000000000489</v>
      </c>
      <c r="B370">
        <f t="shared" si="40"/>
        <v>1.2548917321839315</v>
      </c>
      <c r="C370">
        <f t="shared" si="41"/>
        <v>0.31067642963072367</v>
      </c>
      <c r="D370">
        <f t="shared" si="43"/>
        <v>0.95051573162778635</v>
      </c>
      <c r="E370">
        <f t="shared" si="44"/>
        <v>0.96770917048197336</v>
      </c>
      <c r="F370">
        <f t="shared" si="42"/>
        <v>6.5683064799203764E+22</v>
      </c>
    </row>
    <row r="371" spans="1:6" x14ac:dyDescent="0.2">
      <c r="A371">
        <f t="shared" si="45"/>
        <v>72.100000000000492</v>
      </c>
      <c r="B371">
        <f t="shared" si="40"/>
        <v>1.2583823906879201</v>
      </c>
      <c r="C371">
        <f t="shared" si="41"/>
        <v>0.30735661779979895</v>
      </c>
      <c r="D371">
        <f t="shared" si="43"/>
        <v>0.95159440387944083</v>
      </c>
      <c r="E371">
        <f t="shared" si="44"/>
        <v>0.96858316112863319</v>
      </c>
      <c r="F371">
        <f t="shared" si="42"/>
        <v>6.8874917061274479E+22</v>
      </c>
    </row>
    <row r="372" spans="1:6" x14ac:dyDescent="0.2">
      <c r="A372">
        <f t="shared" si="45"/>
        <v>72.300000000000495</v>
      </c>
      <c r="B372">
        <f t="shared" si="40"/>
        <v>1.2618730491919088</v>
      </c>
      <c r="C372">
        <f t="shared" si="41"/>
        <v>0.30403306092548216</v>
      </c>
      <c r="D372">
        <f t="shared" si="43"/>
        <v>0.95266148125358885</v>
      </c>
      <c r="E372">
        <f t="shared" si="44"/>
        <v>0.96944534989514086</v>
      </c>
      <c r="F372">
        <f t="shared" si="42"/>
        <v>7.2175615185635496E+22</v>
      </c>
    </row>
    <row r="373" spans="1:6" x14ac:dyDescent="0.2">
      <c r="A373">
        <f t="shared" si="45"/>
        <v>72.500000000000497</v>
      </c>
      <c r="B373">
        <f t="shared" si="40"/>
        <v>1.2653637076958975</v>
      </c>
      <c r="C373">
        <f t="shared" si="41"/>
        <v>0.30070579950426501</v>
      </c>
      <c r="D373">
        <f t="shared" si="43"/>
        <v>0.95371695074822949</v>
      </c>
      <c r="E373">
        <f t="shared" si="44"/>
        <v>0.97029572627599858</v>
      </c>
      <c r="F373">
        <f t="shared" si="42"/>
        <v>7.5586002472594506E+22</v>
      </c>
    </row>
    <row r="374" spans="1:6" x14ac:dyDescent="0.2">
      <c r="A374">
        <f t="shared" si="45"/>
        <v>72.7000000000005</v>
      </c>
      <c r="B374">
        <f t="shared" si="40"/>
        <v>1.2688543661998861</v>
      </c>
      <c r="C374">
        <f t="shared" si="41"/>
        <v>0.29737487407777785</v>
      </c>
      <c r="D374">
        <f t="shared" si="43"/>
        <v>0.95476079950279991</v>
      </c>
      <c r="E374">
        <f t="shared" si="44"/>
        <v>0.97113427990963797</v>
      </c>
      <c r="F374">
        <f t="shared" si="42"/>
        <v>7.9106741151486125E+22</v>
      </c>
    </row>
    <row r="375" spans="1:6" x14ac:dyDescent="0.2">
      <c r="A375">
        <f t="shared" si="45"/>
        <v>72.900000000000503</v>
      </c>
      <c r="B375">
        <f t="shared" si="40"/>
        <v>1.272345024703875</v>
      </c>
      <c r="C375">
        <f t="shared" si="41"/>
        <v>0.29404032523229562</v>
      </c>
      <c r="D375">
        <f t="shared" si="43"/>
        <v>0.95579301479833267</v>
      </c>
      <c r="E375">
        <f t="shared" si="44"/>
        <v>0.97196100057854817</v>
      </c>
      <c r="F375">
        <f t="shared" si="42"/>
        <v>8.2738301818103359E+22</v>
      </c>
    </row>
    <row r="376" spans="1:6" x14ac:dyDescent="0.2">
      <c r="A376">
        <f t="shared" si="45"/>
        <v>73.100000000000506</v>
      </c>
      <c r="B376">
        <f t="shared" si="40"/>
        <v>1.2758356832078637</v>
      </c>
      <c r="C376">
        <f t="shared" si="41"/>
        <v>0.29070219359824412</v>
      </c>
      <c r="D376">
        <f t="shared" si="43"/>
        <v>0.95681358405760997</v>
      </c>
      <c r="E376">
        <f t="shared" si="44"/>
        <v>0.97277587820939859</v>
      </c>
      <c r="F376">
        <f t="shared" si="42"/>
        <v>8.6480953011384898E+22</v>
      </c>
    </row>
    <row r="377" spans="1:6" x14ac:dyDescent="0.2">
      <c r="A377">
        <f t="shared" si="45"/>
        <v>73.300000000000509</v>
      </c>
      <c r="B377">
        <f t="shared" si="40"/>
        <v>1.2793263417118523</v>
      </c>
      <c r="C377">
        <f t="shared" si="41"/>
        <v>0.28736051984970362</v>
      </c>
      <c r="D377">
        <f t="shared" si="43"/>
        <v>0.95782249484531745</v>
      </c>
      <c r="E377">
        <f t="shared" si="44"/>
        <v>0.97357890287316229</v>
      </c>
      <c r="F377">
        <f t="shared" si="42"/>
        <v>9.0334750978674883E+22</v>
      </c>
    </row>
    <row r="378" spans="1:6" x14ac:dyDescent="0.2">
      <c r="A378">
        <f t="shared" si="45"/>
        <v>73.500000000000512</v>
      </c>
      <c r="B378">
        <f t="shared" si="40"/>
        <v>1.282817000215841</v>
      </c>
      <c r="C378">
        <f t="shared" si="41"/>
        <v>0.28401534470391421</v>
      </c>
      <c r="D378">
        <f t="shared" si="43"/>
        <v>0.95881973486819549</v>
      </c>
      <c r="E378">
        <f t="shared" si="44"/>
        <v>0.97437006478523713</v>
      </c>
      <c r="F378">
        <f t="shared" si="42"/>
        <v>9.4299529680339249E+22</v>
      </c>
    </row>
    <row r="379" spans="1:6" x14ac:dyDescent="0.2">
      <c r="A379">
        <f t="shared" si="45"/>
        <v>73.700000000000514</v>
      </c>
      <c r="B379">
        <f t="shared" si="40"/>
        <v>1.2863076587198299</v>
      </c>
      <c r="C379">
        <f t="shared" si="41"/>
        <v>0.28066670892077916</v>
      </c>
      <c r="D379">
        <f t="shared" si="43"/>
        <v>0.95980529197518938</v>
      </c>
      <c r="E379">
        <f t="shared" si="44"/>
        <v>0.97514935430556515</v>
      </c>
      <c r="F379">
        <f t="shared" si="42"/>
        <v>9.837489108577254E+22</v>
      </c>
    </row>
    <row r="380" spans="1:6" x14ac:dyDescent="0.2">
      <c r="A380">
        <f t="shared" si="45"/>
        <v>73.900000000000517</v>
      </c>
      <c r="B380">
        <f t="shared" si="40"/>
        <v>1.2897983172238185</v>
      </c>
      <c r="C380">
        <f t="shared" si="41"/>
        <v>0.27731465330236915</v>
      </c>
      <c r="D380">
        <f t="shared" si="43"/>
        <v>0.96077915415759663</v>
      </c>
      <c r="E380">
        <f t="shared" si="44"/>
        <v>0.97591676193874932</v>
      </c>
      <c r="F380">
        <f t="shared" si="42"/>
        <v>1.0256019581390262E+23</v>
      </c>
    </row>
    <row r="381" spans="1:6" x14ac:dyDescent="0.2">
      <c r="A381">
        <f t="shared" si="45"/>
        <v>74.10000000000052</v>
      </c>
      <c r="B381">
        <f t="shared" si="40"/>
        <v>1.2932889757278072</v>
      </c>
      <c r="C381">
        <f t="shared" si="41"/>
        <v>0.27395921869242379</v>
      </c>
      <c r="D381">
        <f t="shared" si="43"/>
        <v>0.96174130954921377</v>
      </c>
      <c r="E381">
        <f t="shared" si="44"/>
        <v>0.97667227833416981</v>
      </c>
      <c r="F381">
        <f t="shared" si="42"/>
        <v>1.0685455417209886E+23</v>
      </c>
    </row>
    <row r="382" spans="1:6" x14ac:dyDescent="0.2">
      <c r="A382">
        <f t="shared" si="45"/>
        <v>74.300000000000523</v>
      </c>
      <c r="B382">
        <f t="shared" si="40"/>
        <v>1.2967796342317959</v>
      </c>
      <c r="C382">
        <f t="shared" si="41"/>
        <v>0.27060044597585498</v>
      </c>
      <c r="D382">
        <f t="shared" si="43"/>
        <v>0.96269174642648125</v>
      </c>
      <c r="E382">
        <f t="shared" si="44"/>
        <v>0.97741589428609776</v>
      </c>
      <c r="F382">
        <f t="shared" si="42"/>
        <v>1.1125681764790939E+23</v>
      </c>
    </row>
    <row r="383" spans="1:6" x14ac:dyDescent="0.2">
      <c r="A383">
        <f t="shared" si="45"/>
        <v>74.500000000000526</v>
      </c>
      <c r="B383">
        <f t="shared" si="40"/>
        <v>1.3002702927357848</v>
      </c>
      <c r="C383">
        <f t="shared" si="41"/>
        <v>0.26723837607824796</v>
      </c>
      <c r="D383">
        <f t="shared" si="43"/>
        <v>0.9636304532086255</v>
      </c>
      <c r="E383">
        <f t="shared" si="44"/>
        <v>0.97814760073380758</v>
      </c>
      <c r="F383">
        <f t="shared" si="42"/>
        <v>1.157655709083753E+23</v>
      </c>
    </row>
    <row r="384" spans="1:6" x14ac:dyDescent="0.2">
      <c r="A384">
        <f t="shared" si="45"/>
        <v>74.700000000000529</v>
      </c>
      <c r="B384">
        <f t="shared" si="40"/>
        <v>1.3037609512397734</v>
      </c>
      <c r="C384">
        <f t="shared" si="41"/>
        <v>0.26387304996536398</v>
      </c>
      <c r="D384">
        <f t="shared" si="43"/>
        <v>0.96455741845780052</v>
      </c>
      <c r="E384">
        <f t="shared" si="44"/>
        <v>0.97886738876168677</v>
      </c>
      <c r="F384">
        <f t="shared" si="42"/>
        <v>1.2037912436158794E+23</v>
      </c>
    </row>
    <row r="385" spans="1:6" x14ac:dyDescent="0.2">
      <c r="A385">
        <f t="shared" si="45"/>
        <v>74.900000000000531</v>
      </c>
      <c r="B385">
        <f t="shared" si="40"/>
        <v>1.3072516097437621</v>
      </c>
      <c r="C385">
        <f t="shared" si="41"/>
        <v>0.26050450864263941</v>
      </c>
      <c r="D385">
        <f t="shared" si="43"/>
        <v>0.96547263087922741</v>
      </c>
      <c r="E385">
        <f t="shared" si="44"/>
        <v>0.97957524959934583</v>
      </c>
      <c r="F385">
        <f t="shared" si="42"/>
        <v>1.2509550733491175E+23</v>
      </c>
    </row>
    <row r="386" spans="1:6" x14ac:dyDescent="0.2">
      <c r="A386">
        <f t="shared" si="45"/>
        <v>75.100000000000534</v>
      </c>
      <c r="B386">
        <f t="shared" si="40"/>
        <v>1.3107422682477508</v>
      </c>
      <c r="C386">
        <f t="shared" si="41"/>
        <v>0.25713279315468729</v>
      </c>
      <c r="D386">
        <f t="shared" si="43"/>
        <v>0.96637607932133174</v>
      </c>
      <c r="E386">
        <f t="shared" si="44"/>
        <v>0.98027117462172364</v>
      </c>
      <c r="F386">
        <f t="shared" si="42"/>
        <v>1.2991246192360283E+23</v>
      </c>
    </row>
    <row r="387" spans="1:6" x14ac:dyDescent="0.2">
      <c r="A387">
        <f t="shared" si="45"/>
        <v>75.300000000000537</v>
      </c>
      <c r="B387">
        <f t="shared" si="40"/>
        <v>1.3142329267517394</v>
      </c>
      <c r="C387">
        <f t="shared" si="41"/>
        <v>0.25375794458479667</v>
      </c>
      <c r="D387">
        <f t="shared" si="43"/>
        <v>0.96726775277587917</v>
      </c>
      <c r="E387">
        <f t="shared" si="44"/>
        <v>0.98095515534919342</v>
      </c>
      <c r="F387">
        <f t="shared" si="42"/>
        <v>1.3482743756266351E+23</v>
      </c>
    </row>
    <row r="388" spans="1:6" x14ac:dyDescent="0.2">
      <c r="A388">
        <f t="shared" si="45"/>
        <v>75.50000000000054</v>
      </c>
      <c r="B388">
        <f t="shared" si="40"/>
        <v>1.3177235852557283</v>
      </c>
      <c r="C388">
        <f t="shared" si="41"/>
        <v>0.25038000405443223</v>
      </c>
      <c r="D388">
        <f t="shared" si="43"/>
        <v>0.96814764037811019</v>
      </c>
      <c r="E388">
        <f t="shared" si="44"/>
        <v>0.98162718344766575</v>
      </c>
      <c r="F388">
        <f t="shared" si="42"/>
        <v>1.3983758637343148E+23</v>
      </c>
    </row>
    <row r="389" spans="1:6" x14ac:dyDescent="0.2">
      <c r="A389">
        <f t="shared" si="45"/>
        <v>75.700000000000543</v>
      </c>
      <c r="B389">
        <f t="shared" si="40"/>
        <v>1.321214243759717</v>
      </c>
      <c r="C389">
        <f t="shared" si="41"/>
        <v>0.24699901272273372</v>
      </c>
      <c r="D389">
        <f t="shared" si="43"/>
        <v>0.96901573140687181</v>
      </c>
      <c r="E389">
        <f t="shared" si="44"/>
        <v>0.98228725072869039</v>
      </c>
      <c r="F389">
        <f t="shared" si="42"/>
        <v>1.4493975933487557E+23</v>
      </c>
    </row>
    <row r="390" spans="1:6" x14ac:dyDescent="0.2">
      <c r="A390">
        <f t="shared" si="45"/>
        <v>75.900000000000546</v>
      </c>
      <c r="B390">
        <f t="shared" si="40"/>
        <v>1.3247049022637056</v>
      </c>
      <c r="C390">
        <f t="shared" si="41"/>
        <v>0.24361501178601333</v>
      </c>
      <c r="D390">
        <f t="shared" si="43"/>
        <v>0.96987201528474909</v>
      </c>
      <c r="E390">
        <f t="shared" si="44"/>
        <v>0.98293534914955583</v>
      </c>
      <c r="F390">
        <f t="shared" si="42"/>
        <v>1.5013050332752044E+23</v>
      </c>
    </row>
    <row r="391" spans="1:6" x14ac:dyDescent="0.2">
      <c r="A391">
        <f t="shared" si="45"/>
        <v>76.100000000000549</v>
      </c>
      <c r="B391">
        <f t="shared" si="40"/>
        <v>1.3281955607676943</v>
      </c>
      <c r="C391">
        <f t="shared" si="41"/>
        <v>0.24022804247725452</v>
      </c>
      <c r="D391">
        <f t="shared" si="43"/>
        <v>0.97071648157819301</v>
      </c>
      <c r="E391">
        <f t="shared" si="44"/>
        <v>0.98357147081338747</v>
      </c>
      <c r="F391">
        <f t="shared" si="42"/>
        <v>1.554060590957252E+23</v>
      </c>
    </row>
    <row r="392" spans="1:6" x14ac:dyDescent="0.2">
      <c r="A392">
        <f t="shared" si="45"/>
        <v>76.300000000000551</v>
      </c>
      <c r="B392">
        <f t="shared" si="40"/>
        <v>1.3316862192716832</v>
      </c>
      <c r="C392">
        <f t="shared" si="41"/>
        <v>0.23683814606560927</v>
      </c>
      <c r="D392">
        <f t="shared" si="43"/>
        <v>0.97154911999764848</v>
      </c>
      <c r="E392">
        <f t="shared" si="44"/>
        <v>0.98419560796924366</v>
      </c>
      <c r="F392">
        <f t="shared" si="42"/>
        <v>1.607623601713575E+23</v>
      </c>
    </row>
    <row r="393" spans="1:6" x14ac:dyDescent="0.2">
      <c r="A393">
        <f t="shared" si="45"/>
        <v>76.500000000000554</v>
      </c>
      <c r="B393">
        <f t="shared" si="40"/>
        <v>1.3351768777756718</v>
      </c>
      <c r="C393">
        <f t="shared" si="41"/>
        <v>0.23344536385589595</v>
      </c>
      <c r="D393">
        <f t="shared" si="43"/>
        <v>0.97236992039767889</v>
      </c>
      <c r="E393">
        <f t="shared" si="44"/>
        <v>0.98480775301220969</v>
      </c>
      <c r="F393">
        <f t="shared" si="42"/>
        <v>1.6619503279893452E+23</v>
      </c>
    </row>
    <row r="394" spans="1:6" x14ac:dyDescent="0.2">
      <c r="A394">
        <f t="shared" si="45"/>
        <v>76.700000000000557</v>
      </c>
      <c r="B394">
        <f t="shared" si="40"/>
        <v>1.3386675362796605</v>
      </c>
      <c r="C394">
        <f t="shared" si="41"/>
        <v>0.23004973718809496</v>
      </c>
      <c r="D394">
        <f t="shared" si="43"/>
        <v>0.97317887277709048</v>
      </c>
      <c r="E394">
        <f t="shared" si="44"/>
        <v>0.98540789848349175</v>
      </c>
      <c r="F394">
        <f t="shared" si="42"/>
        <v>1.7169939689908282E+23</v>
      </c>
    </row>
    <row r="395" spans="1:6" x14ac:dyDescent="0.2">
      <c r="A395">
        <f t="shared" si="45"/>
        <v>76.90000000000056</v>
      </c>
      <c r="B395">
        <f t="shared" ref="B395:B458" si="46">A395*PI()/180</f>
        <v>1.3421581947836492</v>
      </c>
      <c r="C395">
        <f t="shared" ref="C395:C458" si="47">COS(B395)</f>
        <v>0.22665130743684558</v>
      </c>
      <c r="D395">
        <f t="shared" si="43"/>
        <v>0.97397596727905378</v>
      </c>
      <c r="E395">
        <f t="shared" si="44"/>
        <v>0.98599603707050643</v>
      </c>
      <c r="F395">
        <f t="shared" ref="F395:F458" si="48">EXP(E395*$C$5*$C$6^2/($C$3*$C$2))</f>
        <v>1.7727046810342206E+23</v>
      </c>
    </row>
    <row r="396" spans="1:6" x14ac:dyDescent="0.2">
      <c r="A396">
        <f t="shared" si="45"/>
        <v>77.100000000000563</v>
      </c>
      <c r="B396">
        <f t="shared" si="46"/>
        <v>1.3456488532876381</v>
      </c>
      <c r="C396">
        <f t="shared" si="47"/>
        <v>0.22325011601094166</v>
      </c>
      <c r="D396">
        <f t="shared" si="43"/>
        <v>0.97476119419122398</v>
      </c>
      <c r="E396">
        <f t="shared" si="44"/>
        <v>0.98657216160697092</v>
      </c>
      <c r="F396">
        <f t="shared" si="48"/>
        <v>1.8290296089017538E+23</v>
      </c>
    </row>
    <row r="397" spans="1:6" x14ac:dyDescent="0.2">
      <c r="A397">
        <f t="shared" si="45"/>
        <v>77.300000000000566</v>
      </c>
      <c r="B397">
        <f t="shared" si="46"/>
        <v>1.3491395117916267</v>
      </c>
      <c r="C397">
        <f t="shared" si="47"/>
        <v>0.21984620435282781</v>
      </c>
      <c r="D397">
        <f t="shared" si="43"/>
        <v>0.97553454394585881</v>
      </c>
      <c r="E397">
        <f t="shared" si="44"/>
        <v>0.98713626507298946</v>
      </c>
      <c r="F397">
        <f t="shared" si="48"/>
        <v>1.8859129284550559E+23</v>
      </c>
    </row>
    <row r="398" spans="1:6" x14ac:dyDescent="0.2">
      <c r="A398">
        <f t="shared" si="45"/>
        <v>77.500000000000568</v>
      </c>
      <c r="B398">
        <f t="shared" si="46"/>
        <v>1.3526301702956154</v>
      </c>
      <c r="C398">
        <f t="shared" si="47"/>
        <v>0.21643961393809316</v>
      </c>
      <c r="D398">
        <f t="shared" si="43"/>
        <v>0.97629600711993547</v>
      </c>
      <c r="E398">
        <f t="shared" si="44"/>
        <v>0.98768834059513921</v>
      </c>
      <c r="F398">
        <f t="shared" si="48"/>
        <v>1.9432959007105929E+23</v>
      </c>
    </row>
    <row r="399" spans="1:6" x14ac:dyDescent="0.2">
      <c r="A399">
        <f t="shared" si="45"/>
        <v>77.700000000000571</v>
      </c>
      <c r="B399">
        <f t="shared" si="46"/>
        <v>1.3561208287996041</v>
      </c>
      <c r="C399">
        <f t="shared" si="47"/>
        <v>0.21303038627496684</v>
      </c>
      <c r="D399">
        <f t="shared" si="43"/>
        <v>0.97704557443526574</v>
      </c>
      <c r="E399">
        <f t="shared" si="44"/>
        <v>0.98822838144655434</v>
      </c>
      <c r="F399">
        <f t="shared" si="48"/>
        <v>2.0011169375349697E+23</v>
      </c>
    </row>
    <row r="400" spans="1:6" x14ac:dyDescent="0.2">
      <c r="A400">
        <f>A399+0.2</f>
        <v>77.900000000000574</v>
      </c>
      <c r="B400">
        <f t="shared" si="46"/>
        <v>1.3596114873035927</v>
      </c>
      <c r="C400">
        <f t="shared" si="47"/>
        <v>0.20961856290381206</v>
      </c>
      <c r="D400">
        <f t="shared" si="43"/>
        <v>0.97778323675860823</v>
      </c>
      <c r="E400">
        <f t="shared" si="44"/>
        <v>0.98875638104700725</v>
      </c>
      <c r="F400">
        <f t="shared" si="48"/>
        <v>2.0593116790665803E+23</v>
      </c>
    </row>
    <row r="401" spans="1:6" x14ac:dyDescent="0.2">
      <c r="A401">
        <f t="shared" si="45"/>
        <v>78.100000000000577</v>
      </c>
      <c r="B401">
        <f t="shared" si="46"/>
        <v>1.3631021458075814</v>
      </c>
      <c r="C401">
        <f t="shared" si="47"/>
        <v>0.20620418539661986</v>
      </c>
      <c r="D401">
        <f t="shared" si="43"/>
        <v>0.97850898510178042</v>
      </c>
      <c r="E401">
        <f t="shared" si="44"/>
        <v>0.98927233296298966</v>
      </c>
      <c r="F401">
        <f t="shared" si="48"/>
        <v>2.1178130829183624E+23</v>
      </c>
    </row>
    <row r="402" spans="1:6" x14ac:dyDescent="0.2">
      <c r="A402">
        <f t="shared" si="45"/>
        <v>78.30000000000058</v>
      </c>
      <c r="B402">
        <f t="shared" si="46"/>
        <v>1.3665928043115703</v>
      </c>
      <c r="C402">
        <f t="shared" si="47"/>
        <v>0.2027872953565025</v>
      </c>
      <c r="D402">
        <f t="shared" si="43"/>
        <v>0.97922281062176786</v>
      </c>
      <c r="E402">
        <f t="shared" si="44"/>
        <v>0.98977623090779043</v>
      </c>
      <c r="F402">
        <f t="shared" si="48"/>
        <v>2.1765515251618534E+23</v>
      </c>
    </row>
    <row r="403" spans="1:6" x14ac:dyDescent="0.2">
      <c r="A403">
        <f t="shared" si="45"/>
        <v>78.500000000000583</v>
      </c>
      <c r="B403">
        <f t="shared" si="46"/>
        <v>1.3700834628155589</v>
      </c>
      <c r="C403">
        <f t="shared" si="47"/>
        <v>0.19936793441718717</v>
      </c>
      <c r="D403">
        <f t="shared" si="43"/>
        <v>0.9799247046208317</v>
      </c>
      <c r="E403">
        <f t="shared" si="44"/>
        <v>0.99026806874157169</v>
      </c>
      <c r="F403">
        <f t="shared" si="48"/>
        <v>2.2354549130361875E+23</v>
      </c>
    </row>
    <row r="404" spans="1:6" x14ac:dyDescent="0.2">
      <c r="A404">
        <f t="shared" si="45"/>
        <v>78.700000000000585</v>
      </c>
      <c r="B404">
        <f t="shared" si="46"/>
        <v>1.3735741213195476</v>
      </c>
      <c r="C404">
        <f t="shared" si="47"/>
        <v>0.19594614424250767</v>
      </c>
      <c r="D404">
        <f t="shared" si="43"/>
        <v>0.980614658546615</v>
      </c>
      <c r="E404">
        <f t="shared" si="44"/>
        <v>0.99074784047144493</v>
      </c>
      <c r="F404">
        <f t="shared" si="48"/>
        <v>2.2944488092691553E+23</v>
      </c>
    </row>
    <row r="405" spans="1:6" x14ac:dyDescent="0.2">
      <c r="A405">
        <f t="shared" si="45"/>
        <v>78.900000000000588</v>
      </c>
      <c r="B405">
        <f t="shared" si="46"/>
        <v>1.3770647798235363</v>
      </c>
      <c r="C405">
        <f t="shared" si="47"/>
        <v>0.1925219665258974</v>
      </c>
      <c r="D405">
        <f t="shared" ref="D405:D468" si="49">SIN(B405)</f>
        <v>0.98129266399224713</v>
      </c>
      <c r="E405">
        <f t="shared" ref="E405:E468" si="50">C405*$E$7+D405*$F$7</f>
        <v>0.99121554025154301</v>
      </c>
      <c r="F405">
        <f t="shared" si="48"/>
        <v>2.3534565678372179E+23</v>
      </c>
    </row>
    <row r="406" spans="1:6" x14ac:dyDescent="0.2">
      <c r="A406">
        <f t="shared" si="45"/>
        <v>79.100000000000591</v>
      </c>
      <c r="B406">
        <f t="shared" si="46"/>
        <v>1.3805554383275249</v>
      </c>
      <c r="C406">
        <f t="shared" si="47"/>
        <v>0.18909544298988126</v>
      </c>
      <c r="D406">
        <f t="shared" si="49"/>
        <v>0.98195871269644563</v>
      </c>
      <c r="E406">
        <f t="shared" si="50"/>
        <v>0.99167116238309172</v>
      </c>
      <c r="F406">
        <f t="shared" si="48"/>
        <v>2.4123994809334293E+23</v>
      </c>
    </row>
    <row r="407" spans="1:6" x14ac:dyDescent="0.2">
      <c r="A407">
        <f t="shared" si="45"/>
        <v>79.300000000000594</v>
      </c>
      <c r="B407">
        <f t="shared" si="46"/>
        <v>1.3840460968315138</v>
      </c>
      <c r="C407">
        <f t="shared" si="47"/>
        <v>0.18566661538556695</v>
      </c>
      <c r="D407">
        <f t="shared" si="49"/>
        <v>0.98261279654361711</v>
      </c>
      <c r="E407">
        <f t="shared" si="50"/>
        <v>0.99211470131447899</v>
      </c>
      <c r="F407">
        <f t="shared" si="48"/>
        <v>2.4711969368518329E+23</v>
      </c>
    </row>
    <row r="408" spans="1:6" x14ac:dyDescent="0.2">
      <c r="A408">
        <f t="shared" si="45"/>
        <v>79.500000000000597</v>
      </c>
      <c r="B408">
        <f t="shared" si="46"/>
        <v>1.3875367553355025</v>
      </c>
      <c r="C408">
        <f t="shared" si="47"/>
        <v>0.18223552549213717</v>
      </c>
      <c r="D408">
        <f t="shared" si="49"/>
        <v>0.9832549075639565</v>
      </c>
      <c r="E408">
        <f t="shared" si="50"/>
        <v>0.99254615164132332</v>
      </c>
      <c r="F408">
        <f t="shared" si="48"/>
        <v>2.5297665884368611E+23</v>
      </c>
    </row>
    <row r="409" spans="1:6" x14ac:dyDescent="0.2">
      <c r="A409">
        <f t="shared" si="45"/>
        <v>79.7000000000006</v>
      </c>
      <c r="B409">
        <f t="shared" si="46"/>
        <v>1.3910274138394911</v>
      </c>
      <c r="C409">
        <f t="shared" si="47"/>
        <v>0.17880221511633931</v>
      </c>
      <c r="D409">
        <f t="shared" si="49"/>
        <v>0.98388503793354354</v>
      </c>
      <c r="E409">
        <f t="shared" si="50"/>
        <v>0.99296550810653827</v>
      </c>
      <c r="F409">
        <f t="shared" si="48"/>
        <v>2.5880245316867441E+23</v>
      </c>
    </row>
    <row r="410" spans="1:6" x14ac:dyDescent="0.2">
      <c r="A410">
        <f t="shared" si="45"/>
        <v>79.900000000000603</v>
      </c>
      <c r="B410">
        <f t="shared" si="46"/>
        <v>1.3945180723434798</v>
      </c>
      <c r="C410">
        <f t="shared" si="47"/>
        <v>0.17536672609197682</v>
      </c>
      <c r="D410">
        <f t="shared" si="49"/>
        <v>0.98450317997443848</v>
      </c>
      <c r="E410">
        <f t="shared" si="50"/>
        <v>0.99337276560039756</v>
      </c>
      <c r="F410">
        <f t="shared" si="48"/>
        <v>2.6458854940412951E+23</v>
      </c>
    </row>
    <row r="411" spans="1:6" x14ac:dyDescent="0.2">
      <c r="A411">
        <f t="shared" si="45"/>
        <v>80.100000000000605</v>
      </c>
      <c r="B411">
        <f t="shared" si="46"/>
        <v>1.3980087308474685</v>
      </c>
      <c r="C411">
        <f t="shared" si="47"/>
        <v>0.17192910027939923</v>
      </c>
      <c r="D411">
        <f t="shared" si="49"/>
        <v>0.98510932615477576</v>
      </c>
      <c r="E411">
        <f t="shared" si="50"/>
        <v>0.99376791916059748</v>
      </c>
      <c r="F411">
        <f t="shared" si="48"/>
        <v>2.7032630318265934E+23</v>
      </c>
    </row>
    <row r="412" spans="1:6" x14ac:dyDescent="0.2">
      <c r="A412">
        <f t="shared" si="45"/>
        <v>80.300000000000608</v>
      </c>
      <c r="B412">
        <f t="shared" si="46"/>
        <v>1.4014993893514573</v>
      </c>
      <c r="C412">
        <f t="shared" si="47"/>
        <v>0.16848937956499205</v>
      </c>
      <c r="D412">
        <f t="shared" si="49"/>
        <v>0.98570346908885531</v>
      </c>
      <c r="E412">
        <f t="shared" si="50"/>
        <v>0.99415096397231639</v>
      </c>
      <c r="F412">
        <f t="shared" si="48"/>
        <v>2.7600697362718177E+23</v>
      </c>
    </row>
    <row r="413" spans="1:6" x14ac:dyDescent="0.2">
      <c r="A413">
        <f t="shared" si="45"/>
        <v>80.500000000000611</v>
      </c>
      <c r="B413">
        <f t="shared" si="46"/>
        <v>1.404990047855446</v>
      </c>
      <c r="C413">
        <f t="shared" si="47"/>
        <v>0.16504760586066711</v>
      </c>
      <c r="D413">
        <f t="shared" si="49"/>
        <v>0.98628560153723321</v>
      </c>
      <c r="E413">
        <f t="shared" si="50"/>
        <v>0.9945218953682744</v>
      </c>
      <c r="F413">
        <f t="shared" si="48"/>
        <v>2.8162174474603216E+23</v>
      </c>
    </row>
    <row r="414" spans="1:6" x14ac:dyDescent="0.2">
      <c r="A414">
        <f t="shared" si="45"/>
        <v>80.700000000000614</v>
      </c>
      <c r="B414">
        <f t="shared" si="46"/>
        <v>1.4084807063594347</v>
      </c>
      <c r="C414">
        <f t="shared" si="47"/>
        <v>0.16160382110335059</v>
      </c>
      <c r="D414">
        <f t="shared" si="49"/>
        <v>0.98685571640680902</v>
      </c>
      <c r="E414">
        <f t="shared" si="50"/>
        <v>0.99488070882878921</v>
      </c>
      <c r="F414">
        <f t="shared" si="48"/>
        <v>2.8716174755234148E+23</v>
      </c>
    </row>
    <row r="415" spans="1:6" x14ac:dyDescent="0.2">
      <c r="A415">
        <f t="shared" si="45"/>
        <v>80.900000000000617</v>
      </c>
      <c r="B415">
        <f t="shared" si="46"/>
        <v>1.4119713648634233</v>
      </c>
      <c r="C415">
        <f t="shared" si="47"/>
        <v>0.15815806725447296</v>
      </c>
      <c r="D415">
        <f t="shared" si="49"/>
        <v>0.98741380675091317</v>
      </c>
      <c r="E415">
        <f t="shared" si="50"/>
        <v>0.99522739998183218</v>
      </c>
      <c r="F415">
        <f t="shared" si="48"/>
        <v>2.9261808283362585E+23</v>
      </c>
    </row>
    <row r="416" spans="1:6" x14ac:dyDescent="0.2">
      <c r="A416">
        <f t="shared" si="45"/>
        <v>81.10000000000062</v>
      </c>
      <c r="B416">
        <f t="shared" si="46"/>
        <v>1.415462023367412</v>
      </c>
      <c r="C416">
        <f t="shared" si="47"/>
        <v>0.15471038629945752</v>
      </c>
      <c r="D416">
        <f t="shared" si="49"/>
        <v>0.98795986576939077</v>
      </c>
      <c r="E416">
        <f t="shared" si="50"/>
        <v>0.99556196460308088</v>
      </c>
      <c r="F416">
        <f t="shared" si="48"/>
        <v>2.9798184449277656E+23</v>
      </c>
    </row>
    <row r="417" spans="1:6" x14ac:dyDescent="0.2">
      <c r="A417">
        <f t="shared" si="45"/>
        <v>81.300000000000622</v>
      </c>
      <c r="B417">
        <f t="shared" si="46"/>
        <v>1.4189526818714007</v>
      </c>
      <c r="C417">
        <f t="shared" si="47"/>
        <v>0.1512608202472086</v>
      </c>
      <c r="D417">
        <f t="shared" si="49"/>
        <v>0.98849388680868511</v>
      </c>
      <c r="E417">
        <f t="shared" si="50"/>
        <v>0.99588439861597122</v>
      </c>
      <c r="F417">
        <f t="shared" si="48"/>
        <v>3.0324414337740425E+23</v>
      </c>
    </row>
    <row r="418" spans="1:6" x14ac:dyDescent="0.2">
      <c r="A418">
        <f t="shared" si="45"/>
        <v>81.500000000000625</v>
      </c>
      <c r="B418">
        <f t="shared" si="46"/>
        <v>1.4224433403753896</v>
      </c>
      <c r="C418">
        <f t="shared" si="47"/>
        <v>0.1478094111295998</v>
      </c>
      <c r="D418">
        <f t="shared" si="49"/>
        <v>0.98901586336191849</v>
      </c>
      <c r="E418">
        <f t="shared" si="50"/>
        <v>0.99619469809174643</v>
      </c>
      <c r="F418">
        <f t="shared" si="48"/>
        <v>3.0839613151025901E+23</v>
      </c>
    </row>
    <row r="419" spans="1:6" x14ac:dyDescent="0.2">
      <c r="A419">
        <f t="shared" si="45"/>
        <v>81.700000000000628</v>
      </c>
      <c r="B419">
        <f t="shared" si="46"/>
        <v>1.425933998879378</v>
      </c>
      <c r="C419">
        <f t="shared" si="47"/>
        <v>0.14435620100096261</v>
      </c>
      <c r="D419">
        <f t="shared" si="49"/>
        <v>0.98952578906897104</v>
      </c>
      <c r="E419">
        <f t="shared" si="50"/>
        <v>0.99649285924950526</v>
      </c>
      <c r="F419">
        <f t="shared" si="48"/>
        <v>3.1342902663017538E+23</v>
      </c>
    </row>
    <row r="420" spans="1:6" x14ac:dyDescent="0.2">
      <c r="A420">
        <f t="shared" si="45"/>
        <v>81.900000000000631</v>
      </c>
      <c r="B420">
        <f t="shared" si="46"/>
        <v>1.4294246573833669</v>
      </c>
      <c r="C420">
        <f t="shared" si="47"/>
        <v>0.14090123193757181</v>
      </c>
      <c r="D420">
        <f t="shared" si="49"/>
        <v>0.99002365771655909</v>
      </c>
      <c r="E420">
        <f t="shared" si="50"/>
        <v>0.99677887845624791</v>
      </c>
      <c r="F420">
        <f t="shared" si="48"/>
        <v>3.183341369494919E+23</v>
      </c>
    </row>
    <row r="421" spans="1:6" x14ac:dyDescent="0.2">
      <c r="A421">
        <f t="shared" si="45"/>
        <v>82.100000000000634</v>
      </c>
      <c r="B421">
        <f t="shared" si="46"/>
        <v>1.4329153158873558</v>
      </c>
      <c r="C421">
        <f t="shared" si="47"/>
        <v>0.13744454603713557</v>
      </c>
      <c r="D421">
        <f t="shared" si="49"/>
        <v>0.99050946323831035</v>
      </c>
      <c r="E421">
        <f t="shared" si="50"/>
        <v>0.99705275222692114</v>
      </c>
      <c r="F421">
        <f t="shared" si="48"/>
        <v>3.2310288603142398E+23</v>
      </c>
    </row>
    <row r="422" spans="1:6" x14ac:dyDescent="0.2">
      <c r="A422">
        <f t="shared" ref="A422:A424" si="51">A421+0.2</f>
        <v>82.300000000000637</v>
      </c>
      <c r="B422">
        <f t="shared" si="46"/>
        <v>1.4364059743913442</v>
      </c>
      <c r="C422">
        <f t="shared" si="47"/>
        <v>0.1339861854182812</v>
      </c>
      <c r="D422">
        <f t="shared" si="49"/>
        <v>0.99098319971483773</v>
      </c>
      <c r="E422">
        <f t="shared" si="50"/>
        <v>0.99731447722445876</v>
      </c>
      <c r="F422">
        <f t="shared" si="48"/>
        <v>3.2772683768841882E+23</v>
      </c>
    </row>
    <row r="423" spans="1:6" x14ac:dyDescent="0.2">
      <c r="A423">
        <f t="shared" si="51"/>
        <v>82.500000000000639</v>
      </c>
      <c r="B423">
        <f t="shared" si="46"/>
        <v>1.4398966328953331</v>
      </c>
      <c r="C423">
        <f t="shared" si="47"/>
        <v>0.1305261922200405</v>
      </c>
      <c r="D423">
        <f t="shared" si="49"/>
        <v>0.99144486137381183</v>
      </c>
      <c r="E423">
        <f t="shared" si="50"/>
        <v>0.99756405025982486</v>
      </c>
      <c r="F423">
        <f t="shared" si="48"/>
        <v>3.3219772080100533E+23</v>
      </c>
    </row>
    <row r="424" spans="1:6" x14ac:dyDescent="0.2">
      <c r="A424">
        <f t="shared" si="51"/>
        <v>82.700000000000642</v>
      </c>
      <c r="B424">
        <f t="shared" si="46"/>
        <v>1.4433872913993215</v>
      </c>
      <c r="C424">
        <f t="shared" si="47"/>
        <v>0.12706460860133958</v>
      </c>
      <c r="D424">
        <f t="shared" si="49"/>
        <v>0.99189444259003101</v>
      </c>
      <c r="E424">
        <f t="shared" si="50"/>
        <v>0.99780146829205063</v>
      </c>
      <c r="F424">
        <f t="shared" si="48"/>
        <v>3.3650745395509006E+23</v>
      </c>
    </row>
    <row r="425" spans="1:6" x14ac:dyDescent="0.2">
      <c r="A425">
        <f>A424+0.2</f>
        <v>82.900000000000645</v>
      </c>
      <c r="B425">
        <f t="shared" si="46"/>
        <v>1.4468779499033104</v>
      </c>
      <c r="C425">
        <f t="shared" si="47"/>
        <v>0.12360147674048159</v>
      </c>
      <c r="D425">
        <f t="shared" si="49"/>
        <v>0.99233193788549012</v>
      </c>
      <c r="E425">
        <f t="shared" si="50"/>
        <v>0.99802672842827223</v>
      </c>
      <c r="F425">
        <f t="shared" si="48"/>
        <v>3.4064816979539881E+23</v>
      </c>
    </row>
    <row r="426" spans="1:6" x14ac:dyDescent="0.2">
      <c r="A426">
        <f t="shared" ref="A426:A449" si="52">A425+0.2</f>
        <v>83.100000000000648</v>
      </c>
      <c r="B426">
        <f t="shared" si="46"/>
        <v>1.4503686084072993</v>
      </c>
      <c r="C426">
        <f t="shared" si="47"/>
        <v>0.12013683883463576</v>
      </c>
      <c r="D426">
        <f t="shared" si="49"/>
        <v>0.99275734192944687</v>
      </c>
      <c r="E426">
        <f t="shared" si="50"/>
        <v>0.99823982792376587</v>
      </c>
      <c r="F426">
        <f t="shared" si="48"/>
        <v>3.4461223899215868E+23</v>
      </c>
    </row>
    <row r="427" spans="1:6" x14ac:dyDescent="0.2">
      <c r="A427">
        <f t="shared" si="52"/>
        <v>83.300000000000651</v>
      </c>
      <c r="B427">
        <f t="shared" si="46"/>
        <v>1.4538592669112878</v>
      </c>
      <c r="C427">
        <f t="shared" si="47"/>
        <v>0.11667073709932203</v>
      </c>
      <c r="D427">
        <f t="shared" si="49"/>
        <v>0.99317064953848733</v>
      </c>
      <c r="E427">
        <f t="shared" si="50"/>
        <v>0.99844076418198158</v>
      </c>
      <c r="F427">
        <f t="shared" si="48"/>
        <v>3.4839229371886153E+23</v>
      </c>
    </row>
    <row r="428" spans="1:6" x14ac:dyDescent="0.2">
      <c r="A428">
        <f t="shared" si="52"/>
        <v>83.500000000000654</v>
      </c>
      <c r="B428">
        <f t="shared" si="46"/>
        <v>1.4573499254152766</v>
      </c>
      <c r="C428">
        <f t="shared" si="47"/>
        <v>0.11320321376789536</v>
      </c>
      <c r="D428">
        <f t="shared" si="49"/>
        <v>0.99357185567658879</v>
      </c>
      <c r="E428">
        <f t="shared" si="50"/>
        <v>0.99862953475457439</v>
      </c>
      <c r="F428">
        <f t="shared" si="48"/>
        <v>3.5198125053978979E+23</v>
      </c>
    </row>
    <row r="429" spans="1:6" x14ac:dyDescent="0.2">
      <c r="A429">
        <f t="shared" si="52"/>
        <v>83.700000000000657</v>
      </c>
      <c r="B429">
        <f t="shared" si="46"/>
        <v>1.4608405839192651</v>
      </c>
      <c r="C429">
        <f t="shared" si="47"/>
        <v>0.10973431109103411</v>
      </c>
      <c r="D429">
        <f t="shared" si="49"/>
        <v>0.99396095545518093</v>
      </c>
      <c r="E429">
        <f t="shared" si="50"/>
        <v>0.99880613734143453</v>
      </c>
      <c r="F429">
        <f t="shared" si="48"/>
        <v>3.5537233260743597E+23</v>
      </c>
    </row>
    <row r="430" spans="1:6" x14ac:dyDescent="0.2">
      <c r="A430">
        <f t="shared" si="52"/>
        <v>83.900000000000659</v>
      </c>
      <c r="B430">
        <f t="shared" si="46"/>
        <v>1.464331242423254</v>
      </c>
      <c r="C430">
        <f t="shared" si="47"/>
        <v>0.10626407133622183</v>
      </c>
      <c r="D430">
        <f t="shared" si="49"/>
        <v>0.99433794413320586</v>
      </c>
      <c r="E430">
        <f t="shared" si="50"/>
        <v>0.99897056979071519</v>
      </c>
      <c r="F430">
        <f t="shared" si="48"/>
        <v>3.5855909107224535E+23</v>
      </c>
    </row>
    <row r="431" spans="1:6" x14ac:dyDescent="0.2">
      <c r="A431">
        <f t="shared" si="52"/>
        <v>84.100000000000662</v>
      </c>
      <c r="B431">
        <f t="shared" si="46"/>
        <v>1.4678219009272429</v>
      </c>
      <c r="C431">
        <f t="shared" si="47"/>
        <v>0.1027925367872352</v>
      </c>
      <c r="D431">
        <f t="shared" si="49"/>
        <v>0.99470281711717545</v>
      </c>
      <c r="E431">
        <f t="shared" si="50"/>
        <v>0.99912283009885883</v>
      </c>
      <c r="F431">
        <f t="shared" si="48"/>
        <v>3.6153542560958157E+23</v>
      </c>
    </row>
    <row r="432" spans="1:6" x14ac:dyDescent="0.2">
      <c r="A432">
        <f t="shared" si="52"/>
        <v>84.300000000000665</v>
      </c>
      <c r="B432">
        <f t="shared" si="46"/>
        <v>1.4713125594312313</v>
      </c>
      <c r="C432">
        <f t="shared" si="47"/>
        <v>9.9319749743627617E-2</v>
      </c>
      <c r="D432">
        <f t="shared" si="49"/>
        <v>0.99505556996122746</v>
      </c>
      <c r="E432">
        <f t="shared" si="50"/>
        <v>0.99926291641062159</v>
      </c>
      <c r="F432">
        <f t="shared" si="48"/>
        <v>3.6429560397204896E+23</v>
      </c>
    </row>
    <row r="433" spans="1:6" x14ac:dyDescent="0.2">
      <c r="A433">
        <f t="shared" si="52"/>
        <v>84.500000000000668</v>
      </c>
      <c r="B433">
        <f t="shared" si="46"/>
        <v>1.4748032179352202</v>
      </c>
      <c r="C433">
        <f t="shared" si="47"/>
        <v>9.5845752520212352E-2</v>
      </c>
      <c r="D433">
        <f t="shared" si="49"/>
        <v>0.99539619836717996</v>
      </c>
      <c r="E433">
        <f t="shared" si="50"/>
        <v>0.9993908270190961</v>
      </c>
      <c r="F433">
        <f t="shared" si="48"/>
        <v>3.6683428047913048E+23</v>
      </c>
    </row>
    <row r="434" spans="1:6" x14ac:dyDescent="0.2">
      <c r="A434">
        <f t="shared" si="52"/>
        <v>84.700000000000671</v>
      </c>
      <c r="B434">
        <f t="shared" si="46"/>
        <v>1.4782938764392086</v>
      </c>
      <c r="C434">
        <f t="shared" si="47"/>
        <v>9.2370587446550162E-2</v>
      </c>
      <c r="D434">
        <f t="shared" si="49"/>
        <v>0.9957246981845832</v>
      </c>
      <c r="E434">
        <f t="shared" si="50"/>
        <v>0.99950656036573193</v>
      </c>
      <c r="F434">
        <f t="shared" si="48"/>
        <v>3.6914651336010473E+23</v>
      </c>
    </row>
    <row r="435" spans="1:6" x14ac:dyDescent="0.2">
      <c r="A435">
        <f t="shared" si="52"/>
        <v>84.900000000000674</v>
      </c>
      <c r="B435">
        <f t="shared" si="46"/>
        <v>1.4817845349431975</v>
      </c>
      <c r="C435">
        <f t="shared" si="47"/>
        <v>8.889429686642987E-2</v>
      </c>
      <c r="D435">
        <f t="shared" si="49"/>
        <v>0.99604106541077064</v>
      </c>
      <c r="E435">
        <f t="shared" si="50"/>
        <v>0.99961011504035457</v>
      </c>
      <c r="F435">
        <f t="shared" si="48"/>
        <v>3.712277808712535E+23</v>
      </c>
    </row>
    <row r="436" spans="1:6" x14ac:dyDescent="0.2">
      <c r="A436">
        <f t="shared" si="52"/>
        <v>85.100000000000676</v>
      </c>
      <c r="B436">
        <f t="shared" si="46"/>
        <v>1.4852751934471864</v>
      </c>
      <c r="C436">
        <f t="shared" si="47"/>
        <v>8.5416923137355591E-2</v>
      </c>
      <c r="D436">
        <f t="shared" si="49"/>
        <v>0.99634529619090739</v>
      </c>
      <c r="E436">
        <f t="shared" si="50"/>
        <v>0.99970148978118334</v>
      </c>
      <c r="F436">
        <f t="shared" si="48"/>
        <v>3.7307399611326904E+23</v>
      </c>
    </row>
    <row r="437" spans="1:6" x14ac:dyDescent="0.2">
      <c r="A437">
        <f t="shared" si="52"/>
        <v>85.300000000000679</v>
      </c>
      <c r="B437">
        <f t="shared" si="46"/>
        <v>1.4887658519511748</v>
      </c>
      <c r="C437">
        <f t="shared" si="47"/>
        <v>8.1938508630029258E-2</v>
      </c>
      <c r="D437">
        <f t="shared" si="49"/>
        <v>0.9966373868180376</v>
      </c>
      <c r="E437">
        <f t="shared" si="50"/>
        <v>0.99978068347484572</v>
      </c>
      <c r="F437">
        <f t="shared" si="48"/>
        <v>3.7468152048052722E+23</v>
      </c>
    </row>
    <row r="438" spans="1:6" x14ac:dyDescent="0.2">
      <c r="A438">
        <f t="shared" si="52"/>
        <v>85.500000000000682</v>
      </c>
      <c r="B438">
        <f t="shared" si="46"/>
        <v>1.4922565104551637</v>
      </c>
      <c r="C438">
        <f t="shared" si="47"/>
        <v>7.845909572783305E-2</v>
      </c>
      <c r="D438">
        <f t="shared" si="49"/>
        <v>0.99691733373312896</v>
      </c>
      <c r="E438">
        <f t="shared" si="50"/>
        <v>0.99984769515639149</v>
      </c>
      <c r="F438">
        <f t="shared" si="48"/>
        <v>3.7604717567999764E+23</v>
      </c>
    </row>
    <row r="439" spans="1:6" x14ac:dyDescent="0.2">
      <c r="A439">
        <f t="shared" si="52"/>
        <v>85.700000000000685</v>
      </c>
      <c r="B439">
        <f t="shared" si="46"/>
        <v>1.4957471689591522</v>
      </c>
      <c r="C439">
        <f t="shared" si="47"/>
        <v>7.4978726826316025E-2</v>
      </c>
      <c r="D439">
        <f t="shared" si="49"/>
        <v>0.99718513352511662</v>
      </c>
      <c r="E439">
        <f t="shared" si="50"/>
        <v>0.99990252400930424</v>
      </c>
      <c r="F439">
        <f t="shared" si="48"/>
        <v>3.7716825426383943E+23</v>
      </c>
    </row>
    <row r="440" spans="1:6" x14ac:dyDescent="0.2">
      <c r="A440">
        <f t="shared" si="52"/>
        <v>85.900000000000688</v>
      </c>
      <c r="B440">
        <f t="shared" si="46"/>
        <v>1.499237827463141</v>
      </c>
      <c r="C440">
        <f t="shared" si="47"/>
        <v>7.1497444332674007E-2</v>
      </c>
      <c r="D440">
        <f t="shared" si="49"/>
        <v>0.99744078293094485</v>
      </c>
      <c r="E440">
        <f t="shared" si="50"/>
        <v>0.99994516936551225</v>
      </c>
      <c r="F440">
        <f t="shared" si="48"/>
        <v>3.7804252862658674E+23</v>
      </c>
    </row>
    <row r="441" spans="1:6" x14ac:dyDescent="0.2">
      <c r="A441">
        <f t="shared" si="52"/>
        <v>86.100000000000691</v>
      </c>
      <c r="B441">
        <f t="shared" si="46"/>
        <v>1.5027284859671299</v>
      </c>
      <c r="C441">
        <f t="shared" si="47"/>
        <v>6.8015290665236025E-2</v>
      </c>
      <c r="D441">
        <f t="shared" si="49"/>
        <v>0.99768427883560606</v>
      </c>
      <c r="E441">
        <f t="shared" si="50"/>
        <v>0.99997563070539475</v>
      </c>
      <c r="F441">
        <f t="shared" si="48"/>
        <v>3.7866825842474755E+23</v>
      </c>
    </row>
    <row r="442" spans="1:6" x14ac:dyDescent="0.2">
      <c r="A442">
        <f t="shared" si="52"/>
        <v>86.300000000000693</v>
      </c>
      <c r="B442">
        <f t="shared" si="46"/>
        <v>1.5062191444711184</v>
      </c>
      <c r="C442">
        <f t="shared" si="47"/>
        <v>6.453230825294605E-2</v>
      </c>
      <c r="D442">
        <f t="shared" si="49"/>
        <v>0.99791561827217978</v>
      </c>
      <c r="E442">
        <f t="shared" si="50"/>
        <v>0.99999390765779039</v>
      </c>
      <c r="F442">
        <f t="shared" si="48"/>
        <v>3.7904419638421382E+23</v>
      </c>
    </row>
    <row r="443" spans="1:6" x14ac:dyDescent="0.2">
      <c r="A443">
        <f t="shared" si="52"/>
        <v>86.500000000000696</v>
      </c>
      <c r="B443">
        <f t="shared" si="46"/>
        <v>1.5097098029751073</v>
      </c>
      <c r="C443">
        <f t="shared" si="47"/>
        <v>6.1048539534844716E-2</v>
      </c>
      <c r="D443">
        <f t="shared" si="49"/>
        <v>0.9981347984218677</v>
      </c>
      <c r="E443">
        <f t="shared" si="50"/>
        <v>1</v>
      </c>
      <c r="F443">
        <f t="shared" si="48"/>
        <v>3.7916959246787429E+23</v>
      </c>
    </row>
    <row r="444" spans="1:6" x14ac:dyDescent="0.2">
      <c r="A444">
        <f t="shared" si="52"/>
        <v>86.700000000000699</v>
      </c>
      <c r="B444">
        <f t="shared" si="46"/>
        <v>1.5132004614790957</v>
      </c>
      <c r="C444">
        <f t="shared" si="47"/>
        <v>5.7564026959555342E-2</v>
      </c>
      <c r="D444">
        <f t="shared" si="49"/>
        <v>0.99834181661402899</v>
      </c>
      <c r="E444">
        <f t="shared" si="50"/>
        <v>0.99999390765779017</v>
      </c>
      <c r="F444">
        <f t="shared" si="48"/>
        <v>3.7904419638421113E+23</v>
      </c>
    </row>
    <row r="445" spans="1:6" x14ac:dyDescent="0.2">
      <c r="A445">
        <f t="shared" si="52"/>
        <v>86.900000000000702</v>
      </c>
      <c r="B445">
        <f t="shared" si="46"/>
        <v>1.5166911199830846</v>
      </c>
      <c r="C445">
        <f t="shared" si="47"/>
        <v>5.4078812984763122E-2</v>
      </c>
      <c r="D445">
        <f t="shared" si="49"/>
        <v>0.99853667032621241</v>
      </c>
      <c r="E445">
        <f t="shared" si="50"/>
        <v>0.99997563070539464</v>
      </c>
      <c r="F445">
        <f t="shared" si="48"/>
        <v>3.7866825842474755E+23</v>
      </c>
    </row>
    <row r="446" spans="1:6" x14ac:dyDescent="0.2">
      <c r="A446">
        <f t="shared" si="52"/>
        <v>87.100000000000705</v>
      </c>
      <c r="B446">
        <f t="shared" si="46"/>
        <v>1.5201817784870733</v>
      </c>
      <c r="C446">
        <f t="shared" si="47"/>
        <v>5.0592940076701134E-2</v>
      </c>
      <c r="D446">
        <f t="shared" si="49"/>
        <v>0.99871935718418681</v>
      </c>
      <c r="E446">
        <f t="shared" si="50"/>
        <v>0.99994516936551192</v>
      </c>
      <c r="F446">
        <f t="shared" si="48"/>
        <v>3.78042528626576E+23</v>
      </c>
    </row>
    <row r="447" spans="1:6" x14ac:dyDescent="0.2">
      <c r="A447">
        <f t="shared" si="52"/>
        <v>87.300000000000708</v>
      </c>
      <c r="B447">
        <f t="shared" si="46"/>
        <v>1.5236724369910619</v>
      </c>
      <c r="C447">
        <f t="shared" si="47"/>
        <v>4.710645070963048E-2</v>
      </c>
      <c r="D447">
        <f t="shared" si="49"/>
        <v>0.99888987496197057</v>
      </c>
      <c r="E447">
        <f t="shared" si="50"/>
        <v>0.99990252400930402</v>
      </c>
      <c r="F447">
        <f t="shared" si="48"/>
        <v>3.7716825426383145E+23</v>
      </c>
    </row>
    <row r="448" spans="1:6" x14ac:dyDescent="0.2">
      <c r="A448">
        <f t="shared" si="52"/>
        <v>87.500000000000711</v>
      </c>
      <c r="B448">
        <f t="shared" si="46"/>
        <v>1.5271630954950508</v>
      </c>
      <c r="C448">
        <f t="shared" si="47"/>
        <v>4.3619387365323586E-2</v>
      </c>
      <c r="D448">
        <f t="shared" si="49"/>
        <v>0.99904822158185835</v>
      </c>
      <c r="E448">
        <f t="shared" si="50"/>
        <v>0.99984769515639105</v>
      </c>
      <c r="F448">
        <f t="shared" si="48"/>
        <v>3.7604717567998966E+23</v>
      </c>
    </row>
    <row r="449" spans="1:6" x14ac:dyDescent="0.2">
      <c r="A449">
        <f t="shared" si="52"/>
        <v>87.700000000000713</v>
      </c>
      <c r="B449">
        <f t="shared" si="46"/>
        <v>1.5306537539990392</v>
      </c>
      <c r="C449">
        <f t="shared" si="47"/>
        <v>4.0131792532547533E-2</v>
      </c>
      <c r="D449">
        <f t="shared" si="49"/>
        <v>0.99919439511444652</v>
      </c>
      <c r="E449">
        <f t="shared" si="50"/>
        <v>0.99978068347484528</v>
      </c>
      <c r="F449">
        <f t="shared" si="48"/>
        <v>3.7468152048051923E+23</v>
      </c>
    </row>
    <row r="450" spans="1:6" x14ac:dyDescent="0.2">
      <c r="A450">
        <f>A449+0.2</f>
        <v>87.900000000000716</v>
      </c>
      <c r="B450">
        <f t="shared" si="46"/>
        <v>1.5341444125030281</v>
      </c>
      <c r="C450">
        <f t="shared" si="47"/>
        <v>3.6643708706543848E-2</v>
      </c>
      <c r="D450">
        <f t="shared" si="49"/>
        <v>0.99932839377865668</v>
      </c>
      <c r="E450">
        <f t="shared" si="50"/>
        <v>0.99970148978118278</v>
      </c>
      <c r="F450">
        <f t="shared" si="48"/>
        <v>3.7307399611326106E+23</v>
      </c>
    </row>
    <row r="451" spans="1:6" x14ac:dyDescent="0.2">
      <c r="A451">
        <f t="shared" ref="A451:A491" si="53">A450+0.2</f>
        <v>88.100000000000719</v>
      </c>
      <c r="B451">
        <f t="shared" si="46"/>
        <v>1.5376350710070168</v>
      </c>
      <c r="C451">
        <f t="shared" si="47"/>
        <v>3.3155178388513847E-2</v>
      </c>
      <c r="D451">
        <f t="shared" si="49"/>
        <v>0.99945021594175754</v>
      </c>
      <c r="E451">
        <f t="shared" si="50"/>
        <v>0.99961011504035402</v>
      </c>
      <c r="F451">
        <f t="shared" si="48"/>
        <v>3.7122778087124565E+23</v>
      </c>
    </row>
    <row r="452" spans="1:6" x14ac:dyDescent="0.2">
      <c r="A452">
        <f t="shared" si="53"/>
        <v>88.300000000000722</v>
      </c>
      <c r="B452">
        <f t="shared" si="46"/>
        <v>1.5411257295110055</v>
      </c>
      <c r="C452">
        <f t="shared" si="47"/>
        <v>2.9666244085098319E-2</v>
      </c>
      <c r="D452">
        <f t="shared" si="49"/>
        <v>0.99955986011938447</v>
      </c>
      <c r="E452">
        <f t="shared" si="50"/>
        <v>0.99950656036573116</v>
      </c>
      <c r="F452">
        <f t="shared" si="48"/>
        <v>3.6914651336008896E+23</v>
      </c>
    </row>
    <row r="453" spans="1:6" x14ac:dyDescent="0.2">
      <c r="A453">
        <f t="shared" si="53"/>
        <v>88.500000000000725</v>
      </c>
      <c r="B453">
        <f t="shared" si="46"/>
        <v>1.5446163880149943</v>
      </c>
      <c r="C453">
        <f t="shared" si="47"/>
        <v>2.6176948307860486E-2</v>
      </c>
      <c r="D453">
        <f t="shared" si="49"/>
        <v>0.99965732497555759</v>
      </c>
      <c r="E453">
        <f t="shared" si="50"/>
        <v>0.99939082701909521</v>
      </c>
      <c r="F453">
        <f t="shared" si="48"/>
        <v>3.6683428047911223E+23</v>
      </c>
    </row>
    <row r="454" spans="1:6" x14ac:dyDescent="0.2">
      <c r="A454">
        <f t="shared" si="53"/>
        <v>88.700000000000728</v>
      </c>
      <c r="B454">
        <f t="shared" si="46"/>
        <v>1.5481070465189828</v>
      </c>
      <c r="C454">
        <f t="shared" si="47"/>
        <v>2.2687333572768909E-2</v>
      </c>
      <c r="D454">
        <f t="shared" si="49"/>
        <v>0.99974260932269854</v>
      </c>
      <c r="E454">
        <f t="shared" si="50"/>
        <v>0.99926291641062059</v>
      </c>
      <c r="F454">
        <f t="shared" si="48"/>
        <v>3.6429560397203084E+23</v>
      </c>
    </row>
    <row r="455" spans="1:6" x14ac:dyDescent="0.2">
      <c r="A455">
        <f t="shared" si="53"/>
        <v>88.90000000000073</v>
      </c>
      <c r="B455">
        <f t="shared" si="46"/>
        <v>1.5515977050229717</v>
      </c>
      <c r="C455">
        <f t="shared" si="47"/>
        <v>1.9197442399676988E-2</v>
      </c>
      <c r="D455">
        <f t="shared" si="49"/>
        <v>0.99981571212164444</v>
      </c>
      <c r="E455">
        <f t="shared" si="50"/>
        <v>0.99912283009885772</v>
      </c>
      <c r="F455">
        <f t="shared" si="48"/>
        <v>3.6153542560955842E+23</v>
      </c>
    </row>
    <row r="456" spans="1:6" x14ac:dyDescent="0.2">
      <c r="A456">
        <f t="shared" si="53"/>
        <v>89.100000000000733</v>
      </c>
      <c r="B456">
        <f t="shared" si="46"/>
        <v>1.5550883635269603</v>
      </c>
      <c r="C456">
        <f t="shared" si="47"/>
        <v>1.5707317311807991E-2</v>
      </c>
      <c r="D456">
        <f t="shared" si="49"/>
        <v>0.99987663248166081</v>
      </c>
      <c r="E456">
        <f t="shared" si="50"/>
        <v>0.99897056979071408</v>
      </c>
      <c r="F456">
        <f t="shared" si="48"/>
        <v>3.5855909107222246E+23</v>
      </c>
    </row>
    <row r="457" spans="1:6" x14ac:dyDescent="0.2">
      <c r="A457">
        <f t="shared" si="53"/>
        <v>89.300000000000736</v>
      </c>
      <c r="B457">
        <f t="shared" si="46"/>
        <v>1.558579022030949</v>
      </c>
      <c r="C457">
        <f t="shared" si="47"/>
        <v>1.2217000835234481E-2</v>
      </c>
      <c r="D457">
        <f t="shared" si="49"/>
        <v>0.9999253696604522</v>
      </c>
      <c r="E457">
        <f t="shared" si="50"/>
        <v>0.99880613734143342</v>
      </c>
      <c r="F457">
        <f t="shared" si="48"/>
        <v>3.5537233260741322E+23</v>
      </c>
    </row>
    <row r="458" spans="1:6" x14ac:dyDescent="0.2">
      <c r="A458">
        <f t="shared" si="53"/>
        <v>89.500000000000739</v>
      </c>
      <c r="B458">
        <f t="shared" si="46"/>
        <v>1.5620696805349379</v>
      </c>
      <c r="C458">
        <f t="shared" si="47"/>
        <v>8.7265354983610197E-3</v>
      </c>
      <c r="D458">
        <f t="shared" si="49"/>
        <v>0.99996192306417142</v>
      </c>
      <c r="E458">
        <f t="shared" si="50"/>
        <v>0.99862953475457317</v>
      </c>
      <c r="F458">
        <f t="shared" si="48"/>
        <v>3.5198125053976979E+23</v>
      </c>
    </row>
    <row r="459" spans="1:6" x14ac:dyDescent="0.2">
      <c r="A459">
        <f t="shared" si="53"/>
        <v>89.700000000000742</v>
      </c>
      <c r="B459">
        <f t="shared" ref="B459:B522" si="54">A459*PI()/180</f>
        <v>1.5655603390389266</v>
      </c>
      <c r="C459">
        <f t="shared" ref="C459:C522" si="55">COS(B459)</f>
        <v>5.2359638314066594E-3</v>
      </c>
      <c r="D459">
        <f t="shared" si="49"/>
        <v>0.99998629224742686</v>
      </c>
      <c r="E459">
        <f t="shared" si="50"/>
        <v>0.99844076418198024</v>
      </c>
      <c r="F459">
        <f t="shared" ref="F459:F522" si="56">EXP(E459*$C$5*$C$6^2/($C$3*$C$2))</f>
        <v>3.4839229371883925E+23</v>
      </c>
    </row>
    <row r="460" spans="1:6" x14ac:dyDescent="0.2">
      <c r="A460">
        <f t="shared" si="53"/>
        <v>89.900000000000745</v>
      </c>
      <c r="B460">
        <f t="shared" si="54"/>
        <v>1.5690509975429152</v>
      </c>
      <c r="C460">
        <f t="shared" si="55"/>
        <v>1.745328365885383E-3</v>
      </c>
      <c r="D460">
        <f t="shared" si="49"/>
        <v>0.99999847691328769</v>
      </c>
      <c r="E460">
        <f t="shared" si="50"/>
        <v>0.99823982792376442</v>
      </c>
      <c r="F460">
        <f t="shared" si="56"/>
        <v>3.4461223899213176E+23</v>
      </c>
    </row>
    <row r="461" spans="1:6" x14ac:dyDescent="0.2">
      <c r="A461">
        <f t="shared" si="53"/>
        <v>90.100000000000747</v>
      </c>
      <c r="B461">
        <f t="shared" si="54"/>
        <v>1.5725416560469039</v>
      </c>
      <c r="C461">
        <f t="shared" si="55"/>
        <v>-1.7453283659112397E-3</v>
      </c>
      <c r="D461">
        <f t="shared" si="49"/>
        <v>0.99999847691328769</v>
      </c>
      <c r="E461">
        <f t="shared" si="50"/>
        <v>0.99802672842827078</v>
      </c>
      <c r="F461">
        <f t="shared" si="56"/>
        <v>3.4064816979537458E+23</v>
      </c>
    </row>
    <row r="462" spans="1:6" x14ac:dyDescent="0.2">
      <c r="A462">
        <f t="shared" si="53"/>
        <v>90.30000000000075</v>
      </c>
      <c r="B462">
        <f t="shared" si="54"/>
        <v>1.5760323145508925</v>
      </c>
      <c r="C462">
        <f t="shared" si="55"/>
        <v>-5.2359638314325154E-3</v>
      </c>
      <c r="D462">
        <f t="shared" si="49"/>
        <v>0.99998629224742674</v>
      </c>
      <c r="E462">
        <f t="shared" si="50"/>
        <v>0.99780146829204908</v>
      </c>
      <c r="F462">
        <f t="shared" si="56"/>
        <v>3.365074539550614E+23</v>
      </c>
    </row>
    <row r="463" spans="1:6" x14ac:dyDescent="0.2">
      <c r="A463">
        <f t="shared" si="53"/>
        <v>90.500000000000753</v>
      </c>
      <c r="B463">
        <f t="shared" si="54"/>
        <v>1.5795229730548814</v>
      </c>
      <c r="C463">
        <f t="shared" si="55"/>
        <v>-8.726535498387096E-3</v>
      </c>
      <c r="D463">
        <f t="shared" si="49"/>
        <v>0.9999619230641712</v>
      </c>
      <c r="E463">
        <f t="shared" si="50"/>
        <v>0.99756405025982331</v>
      </c>
      <c r="F463">
        <f t="shared" si="56"/>
        <v>3.3219772080097694E+23</v>
      </c>
    </row>
    <row r="464" spans="1:6" x14ac:dyDescent="0.2">
      <c r="A464">
        <f t="shared" si="53"/>
        <v>90.700000000000756</v>
      </c>
      <c r="B464">
        <f t="shared" si="54"/>
        <v>1.5830136315588701</v>
      </c>
      <c r="C464">
        <f t="shared" si="55"/>
        <v>-1.2217000835260335E-2</v>
      </c>
      <c r="D464">
        <f t="shared" si="49"/>
        <v>0.99992536966045187</v>
      </c>
      <c r="E464">
        <f t="shared" si="50"/>
        <v>0.99731447722445721</v>
      </c>
      <c r="F464">
        <f t="shared" si="56"/>
        <v>3.2772683768839318E+23</v>
      </c>
    </row>
    <row r="465" spans="1:6" x14ac:dyDescent="0.2">
      <c r="A465">
        <f t="shared" si="53"/>
        <v>90.900000000000759</v>
      </c>
      <c r="B465">
        <f t="shared" si="54"/>
        <v>1.5865042900628588</v>
      </c>
      <c r="C465">
        <f t="shared" si="55"/>
        <v>-1.5707317311833845E-2</v>
      </c>
      <c r="D465">
        <f t="shared" si="49"/>
        <v>0.99987663248166037</v>
      </c>
      <c r="E465">
        <f t="shared" si="50"/>
        <v>0.99705275222691914</v>
      </c>
      <c r="F465">
        <f t="shared" si="56"/>
        <v>3.2310288603138956E+23</v>
      </c>
    </row>
    <row r="466" spans="1:6" x14ac:dyDescent="0.2">
      <c r="A466">
        <f t="shared" si="53"/>
        <v>91.100000000000762</v>
      </c>
      <c r="B466">
        <f t="shared" si="54"/>
        <v>1.5899949485668474</v>
      </c>
      <c r="C466">
        <f t="shared" si="55"/>
        <v>-1.9197442399702839E-2</v>
      </c>
      <c r="D466">
        <f t="shared" si="49"/>
        <v>0.999815712121644</v>
      </c>
      <c r="E466">
        <f t="shared" si="50"/>
        <v>0.99677887845624613</v>
      </c>
      <c r="F466">
        <f t="shared" si="56"/>
        <v>3.183341369494625E+23</v>
      </c>
    </row>
    <row r="467" spans="1:6" x14ac:dyDescent="0.2">
      <c r="A467">
        <f t="shared" si="53"/>
        <v>91.300000000000765</v>
      </c>
      <c r="B467">
        <f t="shared" si="54"/>
        <v>1.5934856070708361</v>
      </c>
      <c r="C467">
        <f t="shared" si="55"/>
        <v>-2.2687333572794538E-2</v>
      </c>
      <c r="D467">
        <f t="shared" si="49"/>
        <v>0.99974260932269798</v>
      </c>
      <c r="E467">
        <f t="shared" si="50"/>
        <v>0.99649285924950315</v>
      </c>
      <c r="F467">
        <f t="shared" si="56"/>
        <v>3.1342902663014424E+23</v>
      </c>
    </row>
    <row r="468" spans="1:6" x14ac:dyDescent="0.2">
      <c r="A468">
        <f t="shared" si="53"/>
        <v>91.500000000000767</v>
      </c>
      <c r="B468">
        <f t="shared" si="54"/>
        <v>1.596976265574825</v>
      </c>
      <c r="C468">
        <f t="shared" si="55"/>
        <v>-2.6176948307886555E-2</v>
      </c>
      <c r="D468">
        <f t="shared" si="49"/>
        <v>0.99965732497555693</v>
      </c>
      <c r="E468">
        <f t="shared" si="50"/>
        <v>0.99619469809174432</v>
      </c>
      <c r="F468">
        <f t="shared" si="56"/>
        <v>3.0839613151022613E+23</v>
      </c>
    </row>
    <row r="469" spans="1:6" x14ac:dyDescent="0.2">
      <c r="A469">
        <f t="shared" si="53"/>
        <v>91.70000000000077</v>
      </c>
      <c r="B469">
        <f t="shared" si="54"/>
        <v>1.6004669240788136</v>
      </c>
      <c r="C469">
        <f t="shared" si="55"/>
        <v>-2.9666244085124166E-2</v>
      </c>
      <c r="D469">
        <f t="shared" ref="D469:D532" si="57">SIN(B469)</f>
        <v>0.99955986011938369</v>
      </c>
      <c r="E469">
        <f t="shared" ref="E469:E532" si="58">C469*$E$7+D469*$F$7</f>
        <v>0.99588439861596911</v>
      </c>
      <c r="F469">
        <f t="shared" si="56"/>
        <v>3.0324414337736761E+23</v>
      </c>
    </row>
    <row r="470" spans="1:6" x14ac:dyDescent="0.2">
      <c r="A470">
        <f t="shared" si="53"/>
        <v>91.900000000000773</v>
      </c>
      <c r="B470">
        <f t="shared" si="54"/>
        <v>1.6039575825828023</v>
      </c>
      <c r="C470">
        <f t="shared" si="55"/>
        <v>-3.3155178388539694E-2</v>
      </c>
      <c r="D470">
        <f t="shared" si="57"/>
        <v>0.99945021594175676</v>
      </c>
      <c r="E470">
        <f t="shared" si="58"/>
        <v>0.99556196460307878</v>
      </c>
      <c r="F470">
        <f t="shared" si="56"/>
        <v>2.9798184449274482E+23</v>
      </c>
    </row>
    <row r="471" spans="1:6" x14ac:dyDescent="0.2">
      <c r="A471">
        <f t="shared" si="53"/>
        <v>92.100000000000776</v>
      </c>
      <c r="B471">
        <f t="shared" si="54"/>
        <v>1.607448241086791</v>
      </c>
      <c r="C471">
        <f t="shared" si="55"/>
        <v>-3.6643708706569689E-2</v>
      </c>
      <c r="D471">
        <f t="shared" si="57"/>
        <v>0.99932839377865579</v>
      </c>
      <c r="E471">
        <f t="shared" si="58"/>
        <v>0.99522739998182985</v>
      </c>
      <c r="F471">
        <f t="shared" si="56"/>
        <v>2.9261808283358632E+23</v>
      </c>
    </row>
    <row r="472" spans="1:6" x14ac:dyDescent="0.2">
      <c r="A472">
        <f t="shared" si="53"/>
        <v>92.300000000000779</v>
      </c>
      <c r="B472">
        <f t="shared" si="54"/>
        <v>1.6109388995907798</v>
      </c>
      <c r="C472">
        <f t="shared" si="55"/>
        <v>-4.0131792532573374E-2</v>
      </c>
      <c r="D472">
        <f t="shared" si="57"/>
        <v>0.99919439511444541</v>
      </c>
      <c r="E472">
        <f t="shared" si="58"/>
        <v>0.99488070882878676</v>
      </c>
      <c r="F472">
        <f t="shared" si="56"/>
        <v>2.8716174755230473E+23</v>
      </c>
    </row>
    <row r="473" spans="1:6" x14ac:dyDescent="0.2">
      <c r="A473">
        <f t="shared" si="53"/>
        <v>92.500000000000782</v>
      </c>
      <c r="B473">
        <f t="shared" si="54"/>
        <v>1.6144295580947685</v>
      </c>
      <c r="C473">
        <f t="shared" si="55"/>
        <v>-4.3619387365349642E-2</v>
      </c>
      <c r="D473">
        <f t="shared" si="57"/>
        <v>0.99904822158185713</v>
      </c>
      <c r="E473">
        <f t="shared" si="58"/>
        <v>0.99452189536827185</v>
      </c>
      <c r="F473">
        <f t="shared" si="56"/>
        <v>2.8162174474599612E+23</v>
      </c>
    </row>
    <row r="474" spans="1:6" x14ac:dyDescent="0.2">
      <c r="A474">
        <f t="shared" si="53"/>
        <v>92.700000000000784</v>
      </c>
      <c r="B474">
        <f t="shared" si="54"/>
        <v>1.6179202165987572</v>
      </c>
      <c r="C474">
        <f t="shared" si="55"/>
        <v>-4.7106450709656307E-2</v>
      </c>
      <c r="D474">
        <f t="shared" si="57"/>
        <v>0.99888987496196935</v>
      </c>
      <c r="E474">
        <f t="shared" si="58"/>
        <v>0.99415096397231395</v>
      </c>
      <c r="F474">
        <f t="shared" si="56"/>
        <v>2.7600697362714647E+23</v>
      </c>
    </row>
    <row r="475" spans="1:6" x14ac:dyDescent="0.2">
      <c r="A475">
        <f t="shared" si="53"/>
        <v>92.900000000000787</v>
      </c>
      <c r="B475">
        <f t="shared" si="54"/>
        <v>1.6214108751027458</v>
      </c>
      <c r="C475">
        <f t="shared" si="55"/>
        <v>-5.0592940076726961E-2</v>
      </c>
      <c r="D475">
        <f t="shared" si="57"/>
        <v>0.99871935718418547</v>
      </c>
      <c r="E475">
        <f t="shared" si="58"/>
        <v>0.99376791916059481</v>
      </c>
      <c r="F475">
        <f t="shared" si="56"/>
        <v>2.7032630318262092E+23</v>
      </c>
    </row>
    <row r="476" spans="1:6" x14ac:dyDescent="0.2">
      <c r="A476">
        <f t="shared" si="53"/>
        <v>93.10000000000079</v>
      </c>
      <c r="B476">
        <f t="shared" si="54"/>
        <v>1.6249015336067345</v>
      </c>
      <c r="C476">
        <f t="shared" si="55"/>
        <v>-5.4078812984788942E-2</v>
      </c>
      <c r="D476">
        <f t="shared" si="57"/>
        <v>0.99853667032621096</v>
      </c>
      <c r="E476">
        <f t="shared" si="58"/>
        <v>0.99337276560039467</v>
      </c>
      <c r="F476">
        <f t="shared" si="56"/>
        <v>2.6458854940408813E+23</v>
      </c>
    </row>
    <row r="477" spans="1:6" x14ac:dyDescent="0.2">
      <c r="A477">
        <f t="shared" si="53"/>
        <v>93.300000000000793</v>
      </c>
      <c r="B477">
        <f t="shared" si="54"/>
        <v>1.6283921921107234</v>
      </c>
      <c r="C477">
        <f t="shared" si="55"/>
        <v>-5.7564026959581155E-2</v>
      </c>
      <c r="D477">
        <f t="shared" si="57"/>
        <v>0.99834181661402754</v>
      </c>
      <c r="E477">
        <f t="shared" si="58"/>
        <v>0.99296550810653528</v>
      </c>
      <c r="F477">
        <f t="shared" si="56"/>
        <v>2.588024531686321E+23</v>
      </c>
    </row>
    <row r="478" spans="1:6" x14ac:dyDescent="0.2">
      <c r="A478">
        <f t="shared" si="53"/>
        <v>93.500000000000796</v>
      </c>
      <c r="B478">
        <f t="shared" si="54"/>
        <v>1.6318828506147121</v>
      </c>
      <c r="C478">
        <f t="shared" si="55"/>
        <v>-6.1048539534870744E-2</v>
      </c>
      <c r="D478">
        <f t="shared" si="57"/>
        <v>0.99813479842186614</v>
      </c>
      <c r="E478">
        <f t="shared" si="58"/>
        <v>0.99254615164132032</v>
      </c>
      <c r="F478">
        <f t="shared" si="56"/>
        <v>2.5297665884364477E+23</v>
      </c>
    </row>
    <row r="479" spans="1:6" x14ac:dyDescent="0.2">
      <c r="A479">
        <f t="shared" si="53"/>
        <v>93.700000000000799</v>
      </c>
      <c r="B479">
        <f t="shared" si="54"/>
        <v>1.6353735091187007</v>
      </c>
      <c r="C479">
        <f t="shared" si="55"/>
        <v>-6.4532308252971848E-2</v>
      </c>
      <c r="D479">
        <f t="shared" si="57"/>
        <v>0.99791561827217812</v>
      </c>
      <c r="E479">
        <f t="shared" si="58"/>
        <v>0.9921147013144761</v>
      </c>
      <c r="F479">
        <f t="shared" si="56"/>
        <v>2.4711969368514467E+23</v>
      </c>
    </row>
    <row r="480" spans="1:6" x14ac:dyDescent="0.2">
      <c r="A480">
        <f t="shared" si="53"/>
        <v>93.900000000000801</v>
      </c>
      <c r="B480">
        <f t="shared" si="54"/>
        <v>1.6388641676226894</v>
      </c>
      <c r="C480">
        <f t="shared" si="55"/>
        <v>-6.8015290665262046E-2</v>
      </c>
      <c r="D480">
        <f t="shared" si="57"/>
        <v>0.9976842788356044</v>
      </c>
      <c r="E480">
        <f t="shared" si="58"/>
        <v>0.99167116238308861</v>
      </c>
      <c r="F480">
        <f t="shared" si="56"/>
        <v>2.4123994809330353E+23</v>
      </c>
    </row>
    <row r="481" spans="1:6" x14ac:dyDescent="0.2">
      <c r="A481">
        <f t="shared" si="53"/>
        <v>94.100000000000804</v>
      </c>
      <c r="B481">
        <f t="shared" si="54"/>
        <v>1.642354826126678</v>
      </c>
      <c r="C481">
        <f t="shared" si="55"/>
        <v>-7.1497444332699805E-2</v>
      </c>
      <c r="D481">
        <f t="shared" si="57"/>
        <v>0.99744078293094296</v>
      </c>
      <c r="E481">
        <f t="shared" si="58"/>
        <v>0.99121554025153991</v>
      </c>
      <c r="F481">
        <f t="shared" si="56"/>
        <v>2.353456567836833E+23</v>
      </c>
    </row>
    <row r="482" spans="1:6" x14ac:dyDescent="0.2">
      <c r="A482">
        <f t="shared" si="53"/>
        <v>94.300000000000807</v>
      </c>
      <c r="B482">
        <f t="shared" si="54"/>
        <v>1.6458454846306669</v>
      </c>
      <c r="C482">
        <f t="shared" si="55"/>
        <v>-7.4978726826341796E-2</v>
      </c>
      <c r="D482">
        <f t="shared" si="57"/>
        <v>0.99718513352511473</v>
      </c>
      <c r="E482">
        <f t="shared" si="58"/>
        <v>0.9907478404714416</v>
      </c>
      <c r="F482">
        <f t="shared" si="56"/>
        <v>2.2944488092687476E+23</v>
      </c>
    </row>
    <row r="483" spans="1:6" x14ac:dyDescent="0.2">
      <c r="A483">
        <f t="shared" si="53"/>
        <v>94.50000000000081</v>
      </c>
      <c r="B483">
        <f t="shared" si="54"/>
        <v>1.6493361431346554</v>
      </c>
      <c r="C483">
        <f t="shared" si="55"/>
        <v>-7.8459095727858821E-2</v>
      </c>
      <c r="D483">
        <f t="shared" si="57"/>
        <v>0.99691733373312685</v>
      </c>
      <c r="E483">
        <f t="shared" si="58"/>
        <v>0.99026806874156825</v>
      </c>
      <c r="F483">
        <f t="shared" si="56"/>
        <v>2.2354549130357745E+23</v>
      </c>
    </row>
    <row r="484" spans="1:6" x14ac:dyDescent="0.2">
      <c r="A484">
        <f t="shared" si="53"/>
        <v>94.700000000000813</v>
      </c>
      <c r="B484">
        <f t="shared" si="54"/>
        <v>1.6528268016386443</v>
      </c>
      <c r="C484">
        <f t="shared" si="55"/>
        <v>-8.1938508630055029E-2</v>
      </c>
      <c r="D484">
        <f t="shared" si="57"/>
        <v>0.99663738681803549</v>
      </c>
      <c r="E484">
        <f t="shared" si="58"/>
        <v>0.98977623090778699</v>
      </c>
      <c r="F484">
        <f t="shared" si="56"/>
        <v>2.176551525161436E+23</v>
      </c>
    </row>
    <row r="485" spans="1:6" x14ac:dyDescent="0.2">
      <c r="A485">
        <f t="shared" si="53"/>
        <v>94.900000000000816</v>
      </c>
      <c r="B485">
        <f t="shared" si="54"/>
        <v>1.6563174601426331</v>
      </c>
      <c r="C485">
        <f t="shared" si="55"/>
        <v>-8.5416923137381792E-2</v>
      </c>
      <c r="D485">
        <f t="shared" si="57"/>
        <v>0.99634529619090517</v>
      </c>
      <c r="E485">
        <f t="shared" si="58"/>
        <v>0.98927233296298611</v>
      </c>
      <c r="F485">
        <f t="shared" si="56"/>
        <v>2.1178130829179711E+23</v>
      </c>
    </row>
    <row r="486" spans="1:6" x14ac:dyDescent="0.2">
      <c r="A486">
        <f t="shared" si="53"/>
        <v>95.100000000000819</v>
      </c>
      <c r="B486">
        <f t="shared" si="54"/>
        <v>1.6598081186466216</v>
      </c>
      <c r="C486">
        <f t="shared" si="55"/>
        <v>-8.8894296866455627E-2</v>
      </c>
      <c r="D486">
        <f t="shared" si="57"/>
        <v>0.99604106541076831</v>
      </c>
      <c r="E486">
        <f t="shared" si="58"/>
        <v>0.98875638104700359</v>
      </c>
      <c r="F486">
        <f t="shared" si="56"/>
        <v>2.0593116790661853E+23</v>
      </c>
    </row>
    <row r="487" spans="1:6" x14ac:dyDescent="0.2">
      <c r="A487">
        <f t="shared" si="53"/>
        <v>95.300000000000821</v>
      </c>
      <c r="B487">
        <f t="shared" si="54"/>
        <v>1.6632987771506105</v>
      </c>
      <c r="C487">
        <f t="shared" si="55"/>
        <v>-9.2370587446575905E-2</v>
      </c>
      <c r="D487">
        <f t="shared" si="57"/>
        <v>0.99572469818458076</v>
      </c>
      <c r="E487">
        <f t="shared" si="58"/>
        <v>0.98822838144655056</v>
      </c>
      <c r="F487">
        <f t="shared" si="56"/>
        <v>2.0011169375345718E+23</v>
      </c>
    </row>
    <row r="488" spans="1:6" x14ac:dyDescent="0.2">
      <c r="A488">
        <f t="shared" si="53"/>
        <v>95.500000000000824</v>
      </c>
      <c r="B488">
        <f t="shared" si="54"/>
        <v>1.6667894356545989</v>
      </c>
      <c r="C488">
        <f t="shared" si="55"/>
        <v>-9.5845752520238095E-2</v>
      </c>
      <c r="D488">
        <f t="shared" si="57"/>
        <v>0.99539619836717741</v>
      </c>
      <c r="E488">
        <f t="shared" si="58"/>
        <v>0.98768834059513544</v>
      </c>
      <c r="F488">
        <f t="shared" si="56"/>
        <v>1.9432959007101926E+23</v>
      </c>
    </row>
    <row r="489" spans="1:6" x14ac:dyDescent="0.2">
      <c r="A489">
        <f t="shared" si="53"/>
        <v>95.700000000000827</v>
      </c>
      <c r="B489">
        <f t="shared" si="54"/>
        <v>1.6702800941585878</v>
      </c>
      <c r="C489">
        <f t="shared" si="55"/>
        <v>-9.9319749743653346E-2</v>
      </c>
      <c r="D489">
        <f t="shared" si="57"/>
        <v>0.99505556996122491</v>
      </c>
      <c r="E489">
        <f t="shared" si="58"/>
        <v>0.98713626507298557</v>
      </c>
      <c r="F489">
        <f t="shared" si="56"/>
        <v>1.8859129284546673E+23</v>
      </c>
    </row>
    <row r="490" spans="1:6" x14ac:dyDescent="0.2">
      <c r="A490">
        <f t="shared" si="53"/>
        <v>95.90000000000083</v>
      </c>
      <c r="B490">
        <f t="shared" si="54"/>
        <v>1.6737707526625767</v>
      </c>
      <c r="C490">
        <f t="shared" si="55"/>
        <v>-0.10279253678726136</v>
      </c>
      <c r="D490">
        <f t="shared" si="57"/>
        <v>0.99470281711717268</v>
      </c>
      <c r="E490">
        <f t="shared" si="58"/>
        <v>0.98657216160696692</v>
      </c>
      <c r="F490">
        <f t="shared" si="56"/>
        <v>1.829029608901377E+23</v>
      </c>
    </row>
    <row r="491" spans="1:6" x14ac:dyDescent="0.2">
      <c r="A491">
        <f t="shared" si="53"/>
        <v>96.100000000000833</v>
      </c>
      <c r="B491">
        <f t="shared" si="54"/>
        <v>1.6772614111665651</v>
      </c>
      <c r="C491">
        <f t="shared" si="55"/>
        <v>-0.10626407133624753</v>
      </c>
      <c r="D491">
        <f t="shared" si="57"/>
        <v>0.99433794413320309</v>
      </c>
      <c r="E491">
        <f t="shared" si="58"/>
        <v>0.98599603707050243</v>
      </c>
      <c r="F491">
        <f t="shared" si="56"/>
        <v>1.77270468103383E+23</v>
      </c>
    </row>
    <row r="492" spans="1:6" x14ac:dyDescent="0.2">
      <c r="A492">
        <f>A491+0.2</f>
        <v>96.300000000000836</v>
      </c>
      <c r="B492">
        <f t="shared" si="54"/>
        <v>1.680752069670554</v>
      </c>
      <c r="C492">
        <f t="shared" si="55"/>
        <v>-0.10973431109105981</v>
      </c>
      <c r="D492">
        <f t="shared" si="57"/>
        <v>0.99396095545517804</v>
      </c>
      <c r="E492">
        <f t="shared" si="58"/>
        <v>0.98540789848348753</v>
      </c>
      <c r="F492">
        <f t="shared" si="56"/>
        <v>1.7169939689904379E+23</v>
      </c>
    </row>
    <row r="493" spans="1:6" x14ac:dyDescent="0.2">
      <c r="A493">
        <f t="shared" ref="A493:A556" si="59">A492+0.2</f>
        <v>96.500000000000838</v>
      </c>
      <c r="B493">
        <f t="shared" si="54"/>
        <v>1.6842427281745425</v>
      </c>
      <c r="C493">
        <f t="shared" si="55"/>
        <v>-0.11320321376792104</v>
      </c>
      <c r="D493">
        <f t="shared" si="57"/>
        <v>0.9935718556765859</v>
      </c>
      <c r="E493">
        <f t="shared" si="58"/>
        <v>0.98480775301220558</v>
      </c>
      <c r="F493">
        <f t="shared" si="56"/>
        <v>1.6619503279889674E+23</v>
      </c>
    </row>
    <row r="494" spans="1:6" x14ac:dyDescent="0.2">
      <c r="A494">
        <f t="shared" si="59"/>
        <v>96.700000000000841</v>
      </c>
      <c r="B494">
        <f t="shared" si="54"/>
        <v>1.6877333866785313</v>
      </c>
      <c r="C494">
        <f t="shared" si="55"/>
        <v>-0.11667073709934771</v>
      </c>
      <c r="D494">
        <f t="shared" si="57"/>
        <v>0.99317064953848433</v>
      </c>
      <c r="E494">
        <f t="shared" si="58"/>
        <v>0.98419560796923933</v>
      </c>
      <c r="F494">
        <f t="shared" si="56"/>
        <v>1.6076236017131982E+23</v>
      </c>
    </row>
    <row r="495" spans="1:6" x14ac:dyDescent="0.2">
      <c r="A495">
        <f t="shared" si="59"/>
        <v>96.900000000000844</v>
      </c>
      <c r="B495">
        <f t="shared" si="54"/>
        <v>1.6912240451825202</v>
      </c>
      <c r="C495">
        <f t="shared" si="55"/>
        <v>-0.12013683883466186</v>
      </c>
      <c r="D495">
        <f t="shared" si="57"/>
        <v>0.99275734192944376</v>
      </c>
      <c r="E495">
        <f t="shared" si="58"/>
        <v>0.98357147081338314</v>
      </c>
      <c r="F495">
        <f t="shared" si="56"/>
        <v>1.5540605909568876E+23</v>
      </c>
    </row>
    <row r="496" spans="1:6" x14ac:dyDescent="0.2">
      <c r="A496">
        <f t="shared" si="59"/>
        <v>97.100000000000847</v>
      </c>
      <c r="B496">
        <f t="shared" si="54"/>
        <v>1.6947147036865087</v>
      </c>
      <c r="C496">
        <f t="shared" si="55"/>
        <v>-0.12360147674050725</v>
      </c>
      <c r="D496">
        <f t="shared" si="57"/>
        <v>0.9923319378854869</v>
      </c>
      <c r="E496">
        <f t="shared" si="58"/>
        <v>0.9829353491495515</v>
      </c>
      <c r="F496">
        <f t="shared" si="56"/>
        <v>1.5013050332748417E+23</v>
      </c>
    </row>
    <row r="497" spans="1:6" x14ac:dyDescent="0.2">
      <c r="A497">
        <f t="shared" si="59"/>
        <v>97.30000000000085</v>
      </c>
      <c r="B497">
        <f t="shared" si="54"/>
        <v>1.6982053621904976</v>
      </c>
      <c r="C497">
        <f t="shared" si="55"/>
        <v>-0.12706460860136523</v>
      </c>
      <c r="D497">
        <f t="shared" si="57"/>
        <v>0.99189444259002779</v>
      </c>
      <c r="E497">
        <f t="shared" si="58"/>
        <v>0.98228725072868583</v>
      </c>
      <c r="F497">
        <f t="shared" si="56"/>
        <v>1.4493975933483952E+23</v>
      </c>
    </row>
    <row r="498" spans="1:6" x14ac:dyDescent="0.2">
      <c r="A498">
        <f t="shared" si="59"/>
        <v>97.500000000000853</v>
      </c>
      <c r="B498">
        <f t="shared" si="54"/>
        <v>1.701696020694486</v>
      </c>
      <c r="C498">
        <f t="shared" si="55"/>
        <v>-0.13052619222006612</v>
      </c>
      <c r="D498">
        <f t="shared" si="57"/>
        <v>0.99144486137380849</v>
      </c>
      <c r="E498">
        <f t="shared" si="58"/>
        <v>0.98162718344766109</v>
      </c>
      <c r="F498">
        <f t="shared" si="56"/>
        <v>1.3983758637339571E+23</v>
      </c>
    </row>
    <row r="499" spans="1:6" x14ac:dyDescent="0.2">
      <c r="A499">
        <f t="shared" si="59"/>
        <v>97.700000000000855</v>
      </c>
      <c r="B499">
        <f t="shared" si="54"/>
        <v>1.7051866791984749</v>
      </c>
      <c r="C499">
        <f t="shared" si="55"/>
        <v>-0.13398618541830681</v>
      </c>
      <c r="D499">
        <f t="shared" si="57"/>
        <v>0.99098319971483428</v>
      </c>
      <c r="E499">
        <f t="shared" si="58"/>
        <v>0.98095515534918865</v>
      </c>
      <c r="F499">
        <f t="shared" si="56"/>
        <v>1.3482743756262805E+23</v>
      </c>
    </row>
    <row r="500" spans="1:6" x14ac:dyDescent="0.2">
      <c r="A500">
        <f t="shared" si="59"/>
        <v>97.900000000000858</v>
      </c>
      <c r="B500">
        <f t="shared" si="54"/>
        <v>1.7086773377024638</v>
      </c>
      <c r="C500">
        <f t="shared" si="55"/>
        <v>-0.13744454603716164</v>
      </c>
      <c r="D500">
        <f t="shared" si="57"/>
        <v>0.9905094632383068</v>
      </c>
      <c r="E500">
        <f t="shared" si="58"/>
        <v>0.98027117462171887</v>
      </c>
      <c r="F500">
        <f t="shared" si="56"/>
        <v>1.2991246192356961E+23</v>
      </c>
    </row>
    <row r="501" spans="1:6" x14ac:dyDescent="0.2">
      <c r="A501">
        <f t="shared" si="59"/>
        <v>98.100000000000861</v>
      </c>
      <c r="B501">
        <f t="shared" si="54"/>
        <v>1.7121679962064522</v>
      </c>
      <c r="C501">
        <f t="shared" si="55"/>
        <v>-0.1409012319375974</v>
      </c>
      <c r="D501">
        <f t="shared" si="57"/>
        <v>0.99002365771655543</v>
      </c>
      <c r="E501">
        <f t="shared" si="58"/>
        <v>0.97957524959934095</v>
      </c>
      <c r="F501">
        <f t="shared" si="56"/>
        <v>1.2509550733487797E+23</v>
      </c>
    </row>
    <row r="502" spans="1:6" x14ac:dyDescent="0.2">
      <c r="A502">
        <f t="shared" si="59"/>
        <v>98.300000000000864</v>
      </c>
      <c r="B502">
        <f t="shared" si="54"/>
        <v>1.7156586547104411</v>
      </c>
      <c r="C502">
        <f t="shared" si="55"/>
        <v>-0.1443562010009882</v>
      </c>
      <c r="D502">
        <f t="shared" si="57"/>
        <v>0.98952578906896727</v>
      </c>
      <c r="E502">
        <f t="shared" si="58"/>
        <v>0.97886738876168189</v>
      </c>
      <c r="F502">
        <f t="shared" si="56"/>
        <v>1.2037912436155544E+23</v>
      </c>
    </row>
    <row r="503" spans="1:6" x14ac:dyDescent="0.2">
      <c r="A503">
        <f t="shared" si="59"/>
        <v>98.500000000000867</v>
      </c>
      <c r="B503">
        <f t="shared" si="54"/>
        <v>1.7191493132144295</v>
      </c>
      <c r="C503">
        <f t="shared" si="55"/>
        <v>-0.14780941112962537</v>
      </c>
      <c r="D503">
        <f t="shared" si="57"/>
        <v>0.9890158633619146</v>
      </c>
      <c r="E503">
        <f t="shared" si="58"/>
        <v>0.97814760073380247</v>
      </c>
      <c r="F503">
        <f t="shared" si="56"/>
        <v>1.1576557090834405E+23</v>
      </c>
    </row>
    <row r="504" spans="1:6" x14ac:dyDescent="0.2">
      <c r="A504">
        <f t="shared" si="59"/>
        <v>98.70000000000087</v>
      </c>
      <c r="B504">
        <f t="shared" si="54"/>
        <v>1.7226399717184184</v>
      </c>
      <c r="C504">
        <f t="shared" si="55"/>
        <v>-0.15126082024723417</v>
      </c>
      <c r="D504">
        <f t="shared" si="57"/>
        <v>0.98849388680868122</v>
      </c>
      <c r="E504">
        <f t="shared" si="58"/>
        <v>0.97741589428609266</v>
      </c>
      <c r="F504">
        <f t="shared" si="56"/>
        <v>1.1125681764787934E+23</v>
      </c>
    </row>
    <row r="505" spans="1:6" x14ac:dyDescent="0.2">
      <c r="A505">
        <f t="shared" si="59"/>
        <v>98.900000000000873</v>
      </c>
      <c r="B505">
        <f t="shared" si="54"/>
        <v>1.7261306302224073</v>
      </c>
      <c r="C505">
        <f t="shared" si="55"/>
        <v>-0.15471038629948328</v>
      </c>
      <c r="D505">
        <f t="shared" si="57"/>
        <v>0.98795986576938677</v>
      </c>
      <c r="E505">
        <f t="shared" si="58"/>
        <v>0.97667227833416448</v>
      </c>
      <c r="F505">
        <f t="shared" si="56"/>
        <v>1.0685455417206697E+23</v>
      </c>
    </row>
    <row r="506" spans="1:6" x14ac:dyDescent="0.2">
      <c r="A506">
        <f t="shared" si="59"/>
        <v>99.100000000000875</v>
      </c>
      <c r="B506">
        <f t="shared" si="54"/>
        <v>1.7296212887263958</v>
      </c>
      <c r="C506">
        <f t="shared" si="55"/>
        <v>-0.15815806725449849</v>
      </c>
      <c r="D506">
        <f t="shared" si="57"/>
        <v>0.98741380675090906</v>
      </c>
      <c r="E506">
        <f t="shared" si="58"/>
        <v>0.9759167619387441</v>
      </c>
      <c r="F506">
        <f t="shared" si="56"/>
        <v>1.025601958138742E+23</v>
      </c>
    </row>
    <row r="507" spans="1:6" x14ac:dyDescent="0.2">
      <c r="A507">
        <f t="shared" si="59"/>
        <v>99.300000000000878</v>
      </c>
      <c r="B507">
        <f t="shared" si="54"/>
        <v>1.7331119472303846</v>
      </c>
      <c r="C507">
        <f t="shared" si="55"/>
        <v>-0.16160382110337632</v>
      </c>
      <c r="D507">
        <f t="shared" si="57"/>
        <v>0.98685571640680481</v>
      </c>
      <c r="E507">
        <f t="shared" si="58"/>
        <v>0.97514935430555982</v>
      </c>
      <c r="F507">
        <f t="shared" si="56"/>
        <v>9.837489108574318E+22</v>
      </c>
    </row>
    <row r="508" spans="1:6" x14ac:dyDescent="0.2">
      <c r="A508">
        <f t="shared" si="59"/>
        <v>99.500000000000881</v>
      </c>
      <c r="B508">
        <f t="shared" si="54"/>
        <v>1.7366026057343731</v>
      </c>
      <c r="C508">
        <f t="shared" si="55"/>
        <v>-0.16504760586069259</v>
      </c>
      <c r="D508">
        <f t="shared" si="57"/>
        <v>0.98628560153722888</v>
      </c>
      <c r="E508">
        <f t="shared" si="58"/>
        <v>0.97437006478523169</v>
      </c>
      <c r="F508">
        <f t="shared" si="56"/>
        <v>9.4299529680311768E+22</v>
      </c>
    </row>
    <row r="509" spans="1:6" x14ac:dyDescent="0.2">
      <c r="A509">
        <f t="shared" si="59"/>
        <v>99.700000000000884</v>
      </c>
      <c r="B509">
        <f t="shared" si="54"/>
        <v>1.740093264238362</v>
      </c>
      <c r="C509">
        <f t="shared" si="55"/>
        <v>-0.16848937956501775</v>
      </c>
      <c r="D509">
        <f t="shared" si="57"/>
        <v>0.98570346908885098</v>
      </c>
      <c r="E509">
        <f t="shared" si="58"/>
        <v>0.97357890287315674</v>
      </c>
      <c r="F509">
        <f t="shared" si="56"/>
        <v>9.0334750978647922E+22</v>
      </c>
    </row>
    <row r="510" spans="1:6" x14ac:dyDescent="0.2">
      <c r="A510">
        <f t="shared" si="59"/>
        <v>99.900000000000887</v>
      </c>
      <c r="B510">
        <f t="shared" si="54"/>
        <v>1.7435839227423509</v>
      </c>
      <c r="C510">
        <f t="shared" si="55"/>
        <v>-0.17192910027942493</v>
      </c>
      <c r="D510">
        <f t="shared" si="57"/>
        <v>0.9851093261547712</v>
      </c>
      <c r="E510">
        <f t="shared" si="58"/>
        <v>0.97277587820939293</v>
      </c>
      <c r="F510">
        <f t="shared" si="56"/>
        <v>8.6480953011358474E+22</v>
      </c>
    </row>
    <row r="511" spans="1:6" x14ac:dyDescent="0.2">
      <c r="A511">
        <f t="shared" si="59"/>
        <v>100.10000000000089</v>
      </c>
      <c r="B511">
        <f t="shared" si="54"/>
        <v>1.7470745812463393</v>
      </c>
      <c r="C511">
        <f t="shared" si="55"/>
        <v>-0.17536672609200227</v>
      </c>
      <c r="D511">
        <f t="shared" si="57"/>
        <v>0.98450317997443393</v>
      </c>
      <c r="E511">
        <f t="shared" si="58"/>
        <v>0.97196100057854262</v>
      </c>
      <c r="F511">
        <f t="shared" si="56"/>
        <v>8.2738301818078662E+22</v>
      </c>
    </row>
    <row r="512" spans="1:6" x14ac:dyDescent="0.2">
      <c r="A512">
        <f t="shared" si="59"/>
        <v>100.30000000000089</v>
      </c>
      <c r="B512">
        <f t="shared" si="54"/>
        <v>1.7505652397503282</v>
      </c>
      <c r="C512">
        <f t="shared" si="55"/>
        <v>-0.17880221511636499</v>
      </c>
      <c r="D512">
        <f t="shared" si="57"/>
        <v>0.98388503793353888</v>
      </c>
      <c r="E512">
        <f t="shared" si="58"/>
        <v>0.9711342799096323</v>
      </c>
      <c r="F512">
        <f t="shared" si="56"/>
        <v>7.9106741151461395E+22</v>
      </c>
    </row>
    <row r="513" spans="1:6" x14ac:dyDescent="0.2">
      <c r="A513">
        <f t="shared" si="59"/>
        <v>100.5000000000009</v>
      </c>
      <c r="B513">
        <f t="shared" si="54"/>
        <v>1.7540558982543166</v>
      </c>
      <c r="C513">
        <f t="shared" si="55"/>
        <v>-0.1822355254921626</v>
      </c>
      <c r="D513">
        <f t="shared" si="57"/>
        <v>0.98325490756395173</v>
      </c>
      <c r="E513">
        <f t="shared" si="58"/>
        <v>0.97029572627599259</v>
      </c>
      <c r="F513">
        <f t="shared" si="56"/>
        <v>7.5586002472570347E+22</v>
      </c>
    </row>
    <row r="514" spans="1:6" x14ac:dyDescent="0.2">
      <c r="A514">
        <f t="shared" si="59"/>
        <v>100.7000000000009</v>
      </c>
      <c r="B514">
        <f t="shared" si="54"/>
        <v>1.7575465567583055</v>
      </c>
      <c r="C514">
        <f t="shared" si="55"/>
        <v>-0.18566661538559256</v>
      </c>
      <c r="D514">
        <f t="shared" si="57"/>
        <v>0.98261279654361233</v>
      </c>
      <c r="E514">
        <f t="shared" si="58"/>
        <v>0.96944534989513498</v>
      </c>
      <c r="F514">
        <f t="shared" si="56"/>
        <v>7.2175615185612419E+22</v>
      </c>
    </row>
    <row r="515" spans="1:6" x14ac:dyDescent="0.2">
      <c r="A515">
        <f t="shared" si="59"/>
        <v>100.9000000000009</v>
      </c>
      <c r="B515">
        <f t="shared" si="54"/>
        <v>1.7610372152622944</v>
      </c>
      <c r="C515">
        <f t="shared" si="55"/>
        <v>-0.18909544298990685</v>
      </c>
      <c r="D515">
        <f t="shared" si="57"/>
        <v>0.98195871269644064</v>
      </c>
      <c r="E515">
        <f t="shared" si="58"/>
        <v>0.96858316112862708</v>
      </c>
      <c r="F515">
        <f t="shared" si="56"/>
        <v>6.8874917061251972E+22</v>
      </c>
    </row>
    <row r="516" spans="1:6" x14ac:dyDescent="0.2">
      <c r="A516">
        <f t="shared" si="59"/>
        <v>101.1000000000009</v>
      </c>
      <c r="B516">
        <f t="shared" si="54"/>
        <v>1.7645278737662828</v>
      </c>
      <c r="C516">
        <f t="shared" si="55"/>
        <v>-0.19252196652592279</v>
      </c>
      <c r="D516">
        <f t="shared" si="57"/>
        <v>0.98129266399224213</v>
      </c>
      <c r="E516">
        <f t="shared" si="58"/>
        <v>0.96770917048196725</v>
      </c>
      <c r="F516">
        <f t="shared" si="56"/>
        <v>6.5683064799182297E+22</v>
      </c>
    </row>
    <row r="517" spans="1:6" x14ac:dyDescent="0.2">
      <c r="A517">
        <f t="shared" si="59"/>
        <v>101.30000000000091</v>
      </c>
      <c r="B517">
        <f t="shared" si="54"/>
        <v>1.7680185322702717</v>
      </c>
      <c r="C517">
        <f t="shared" si="55"/>
        <v>-0.19594614424253326</v>
      </c>
      <c r="D517">
        <f t="shared" si="57"/>
        <v>0.9806146585466099</v>
      </c>
      <c r="E517">
        <f t="shared" si="58"/>
        <v>0.96682338860445527</v>
      </c>
      <c r="F517">
        <f t="shared" si="56"/>
        <v>6.2599044682328698E+22</v>
      </c>
    </row>
    <row r="518" spans="1:6" x14ac:dyDescent="0.2">
      <c r="A518">
        <f t="shared" si="59"/>
        <v>101.50000000000091</v>
      </c>
      <c r="B518">
        <f t="shared" si="54"/>
        <v>1.7715091907742602</v>
      </c>
      <c r="C518">
        <f t="shared" si="55"/>
        <v>-0.19936793441721251</v>
      </c>
      <c r="D518">
        <f t="shared" si="57"/>
        <v>0.97992470462082648</v>
      </c>
      <c r="E518">
        <f t="shared" si="58"/>
        <v>0.9659258262890642</v>
      </c>
      <c r="F518">
        <f t="shared" si="56"/>
        <v>5.9621683276892045E+22</v>
      </c>
    </row>
    <row r="519" spans="1:6" x14ac:dyDescent="0.2">
      <c r="A519">
        <f t="shared" si="59"/>
        <v>101.70000000000091</v>
      </c>
      <c r="B519">
        <f t="shared" si="54"/>
        <v>1.7749998492782491</v>
      </c>
      <c r="C519">
        <f t="shared" si="55"/>
        <v>-0.20278729535652804</v>
      </c>
      <c r="D519">
        <f t="shared" si="57"/>
        <v>0.97922281062176253</v>
      </c>
      <c r="E519">
        <f t="shared" si="58"/>
        <v>0.9650164944723072</v>
      </c>
      <c r="F519">
        <f t="shared" si="56"/>
        <v>5.6749658134389614E+22</v>
      </c>
    </row>
    <row r="520" spans="1:6" x14ac:dyDescent="0.2">
      <c r="A520">
        <f t="shared" si="59"/>
        <v>101.90000000000092</v>
      </c>
      <c r="B520">
        <f t="shared" si="54"/>
        <v>1.7784905077822375</v>
      </c>
      <c r="C520">
        <f t="shared" si="55"/>
        <v>-0.20620418539664495</v>
      </c>
      <c r="D520">
        <f t="shared" si="57"/>
        <v>0.9785089851017752</v>
      </c>
      <c r="E520">
        <f t="shared" si="58"/>
        <v>0.96409540423410589</v>
      </c>
      <c r="F520">
        <f t="shared" si="56"/>
        <v>5.3981508454046734E+22</v>
      </c>
    </row>
    <row r="521" spans="1:6" x14ac:dyDescent="0.2">
      <c r="A521">
        <f t="shared" si="59"/>
        <v>102.10000000000092</v>
      </c>
      <c r="B521">
        <f t="shared" si="54"/>
        <v>1.7819811662862264</v>
      </c>
      <c r="C521">
        <f t="shared" si="55"/>
        <v>-0.20961856290383735</v>
      </c>
      <c r="D521">
        <f t="shared" si="57"/>
        <v>0.9777832367586029</v>
      </c>
      <c r="E521">
        <f t="shared" si="58"/>
        <v>0.96316256679765389</v>
      </c>
      <c r="F521">
        <f t="shared" si="56"/>
        <v>5.1315645666025535E+22</v>
      </c>
    </row>
    <row r="522" spans="1:6" x14ac:dyDescent="0.2">
      <c r="A522">
        <f t="shared" si="59"/>
        <v>102.30000000000092</v>
      </c>
      <c r="B522">
        <f t="shared" si="54"/>
        <v>1.7854718247902153</v>
      </c>
      <c r="C522">
        <f t="shared" si="55"/>
        <v>-0.21303038627499232</v>
      </c>
      <c r="D522">
        <f t="shared" si="57"/>
        <v>0.97704557443526019</v>
      </c>
      <c r="E522">
        <f t="shared" si="58"/>
        <v>0.96221799352928084</v>
      </c>
      <c r="F522">
        <f t="shared" si="56"/>
        <v>4.8750363898400859E+22</v>
      </c>
    </row>
    <row r="523" spans="1:6" x14ac:dyDescent="0.2">
      <c r="A523">
        <f t="shared" si="59"/>
        <v>102.50000000000092</v>
      </c>
      <c r="B523">
        <f t="shared" ref="B523:B586" si="60">A523*PI()/180</f>
        <v>1.7889624832942037</v>
      </c>
      <c r="C523">
        <f t="shared" ref="C523:C586" si="61">COS(B523)</f>
        <v>-0.21643961393811839</v>
      </c>
      <c r="D523">
        <f t="shared" si="57"/>
        <v>0.97629600711992992</v>
      </c>
      <c r="E523">
        <f t="shared" si="58"/>
        <v>0.96126169593831445</v>
      </c>
      <c r="F523">
        <f t="shared" ref="F523:F586" si="62">EXP(E523*$C$5*$C$6^2/($C$3*$C$2))</f>
        <v>4.6283850293126931E+22</v>
      </c>
    </row>
    <row r="524" spans="1:6" x14ac:dyDescent="0.2">
      <c r="A524">
        <f t="shared" si="59"/>
        <v>102.70000000000093</v>
      </c>
      <c r="B524">
        <f t="shared" si="60"/>
        <v>1.7924531417981926</v>
      </c>
      <c r="C524">
        <f t="shared" si="61"/>
        <v>-0.21984620435285326</v>
      </c>
      <c r="D524">
        <f t="shared" si="57"/>
        <v>0.97553454394585304</v>
      </c>
      <c r="E524">
        <f t="shared" si="58"/>
        <v>0.96029368567693851</v>
      </c>
      <c r="F524">
        <f t="shared" si="62"/>
        <v>4.3914195138720161E+22</v>
      </c>
    </row>
    <row r="525" spans="1:6" x14ac:dyDescent="0.2">
      <c r="A525">
        <f t="shared" si="59"/>
        <v>102.90000000000093</v>
      </c>
      <c r="B525">
        <f t="shared" si="60"/>
        <v>1.795943800302181</v>
      </c>
      <c r="C525">
        <f t="shared" si="61"/>
        <v>-0.22325011601096686</v>
      </c>
      <c r="D525">
        <f t="shared" si="57"/>
        <v>0.97476119419121821</v>
      </c>
      <c r="E525">
        <f t="shared" si="58"/>
        <v>0.95931397454005296</v>
      </c>
      <c r="F525">
        <f t="shared" si="62"/>
        <v>4.1639401789913211E+22</v>
      </c>
    </row>
    <row r="526" spans="1:6" x14ac:dyDescent="0.2">
      <c r="A526">
        <f t="shared" si="59"/>
        <v>103.10000000000093</v>
      </c>
      <c r="B526">
        <f t="shared" si="60"/>
        <v>1.7994344588061699</v>
      </c>
      <c r="C526">
        <f t="shared" si="61"/>
        <v>-0.22665130743687076</v>
      </c>
      <c r="D526">
        <f t="shared" si="57"/>
        <v>0.973975967279048</v>
      </c>
      <c r="E526">
        <f t="shared" si="58"/>
        <v>0.95832257446512858</v>
      </c>
      <c r="F526">
        <f t="shared" si="62"/>
        <v>3.9457396347000693E+22</v>
      </c>
    </row>
    <row r="527" spans="1:6" x14ac:dyDescent="0.2">
      <c r="A527">
        <f t="shared" si="59"/>
        <v>103.30000000000094</v>
      </c>
      <c r="B527">
        <f t="shared" si="60"/>
        <v>1.8029251173101588</v>
      </c>
      <c r="C527">
        <f t="shared" si="61"/>
        <v>-0.23004973718812033</v>
      </c>
      <c r="D527">
        <f t="shared" si="57"/>
        <v>0.97317887277708448</v>
      </c>
      <c r="E527">
        <f t="shared" si="58"/>
        <v>0.95731949753206247</v>
      </c>
      <c r="F527">
        <f t="shared" si="62"/>
        <v>3.7366037070190838E+22</v>
      </c>
    </row>
    <row r="528" spans="1:6" x14ac:dyDescent="0.2">
      <c r="A528">
        <f t="shared" si="59"/>
        <v>103.50000000000094</v>
      </c>
      <c r="B528">
        <f t="shared" si="60"/>
        <v>1.8064157758141473</v>
      </c>
      <c r="C528">
        <f t="shared" si="61"/>
        <v>-0.2334453638559211</v>
      </c>
      <c r="D528">
        <f t="shared" si="57"/>
        <v>0.97236992039767278</v>
      </c>
      <c r="E528">
        <f t="shared" si="58"/>
        <v>0.95630475596303066</v>
      </c>
      <c r="F528">
        <f t="shared" si="62"/>
        <v>3.5363123506756756E+22</v>
      </c>
    </row>
    <row r="529" spans="1:6" x14ac:dyDescent="0.2">
      <c r="A529">
        <f t="shared" si="59"/>
        <v>103.70000000000094</v>
      </c>
      <c r="B529">
        <f t="shared" si="60"/>
        <v>1.8099064343181361</v>
      </c>
      <c r="C529">
        <f t="shared" si="61"/>
        <v>-0.23683814606563458</v>
      </c>
      <c r="D529">
        <f t="shared" si="57"/>
        <v>0.97154911999764226</v>
      </c>
      <c r="E529">
        <f t="shared" si="58"/>
        <v>0.95527836212233874</v>
      </c>
      <c r="F529">
        <f t="shared" si="62"/>
        <v>3.3446405311309835E+22</v>
      </c>
    </row>
    <row r="530" spans="1:6" x14ac:dyDescent="0.2">
      <c r="A530">
        <f t="shared" si="59"/>
        <v>103.90000000000094</v>
      </c>
      <c r="B530">
        <f t="shared" si="60"/>
        <v>1.8133970928221248</v>
      </c>
      <c r="C530">
        <f t="shared" si="61"/>
        <v>-0.24022804247727961</v>
      </c>
      <c r="D530">
        <f t="shared" si="57"/>
        <v>0.9707164815781868</v>
      </c>
      <c r="E530">
        <f t="shared" si="58"/>
        <v>0.95424032851627183</v>
      </c>
      <c r="F530">
        <f t="shared" si="62"/>
        <v>3.1613590741974474E+22</v>
      </c>
    </row>
    <row r="531" spans="1:6" x14ac:dyDescent="0.2">
      <c r="A531">
        <f t="shared" si="59"/>
        <v>104.10000000000095</v>
      </c>
      <c r="B531">
        <f t="shared" si="60"/>
        <v>1.8168877513261135</v>
      </c>
      <c r="C531">
        <f t="shared" si="61"/>
        <v>-0.24361501178603839</v>
      </c>
      <c r="D531">
        <f t="shared" si="57"/>
        <v>0.96987201528474276</v>
      </c>
      <c r="E531">
        <f t="shared" si="58"/>
        <v>0.95319066779294204</v>
      </c>
      <c r="F531">
        <f t="shared" si="62"/>
        <v>2.9862354817665651E+22</v>
      </c>
    </row>
    <row r="532" spans="1:6" x14ac:dyDescent="0.2">
      <c r="A532">
        <f t="shared" si="59"/>
        <v>104.30000000000095</v>
      </c>
      <c r="B532">
        <f t="shared" si="60"/>
        <v>1.8203784098301024</v>
      </c>
      <c r="C532">
        <f t="shared" si="61"/>
        <v>-0.24699901272275901</v>
      </c>
      <c r="D532">
        <f t="shared" si="57"/>
        <v>0.96901573140686537</v>
      </c>
      <c r="E532">
        <f t="shared" si="58"/>
        <v>0.95212939274213348</v>
      </c>
      <c r="F532">
        <f t="shared" si="62"/>
        <v>2.8190347124028018E+22</v>
      </c>
    </row>
    <row r="533" spans="1:6" x14ac:dyDescent="0.2">
      <c r="A533">
        <f t="shared" si="59"/>
        <v>104.50000000000095</v>
      </c>
      <c r="B533">
        <f t="shared" si="60"/>
        <v>1.8238690683340908</v>
      </c>
      <c r="C533">
        <f t="shared" si="61"/>
        <v>-0.25038000405445726</v>
      </c>
      <c r="D533">
        <f t="shared" ref="D533:D596" si="63">SIN(B533)</f>
        <v>0.96814764037810364</v>
      </c>
      <c r="E533">
        <f t="shared" ref="E533:E596" si="64">C533*$E$7+D533*$F$7</f>
        <v>0.95105651629514842</v>
      </c>
      <c r="F533">
        <f t="shared" si="62"/>
        <v>2.6595199257898811E+22</v>
      </c>
    </row>
    <row r="534" spans="1:6" x14ac:dyDescent="0.2">
      <c r="A534">
        <f t="shared" si="59"/>
        <v>104.70000000000095</v>
      </c>
      <c r="B534">
        <f t="shared" si="60"/>
        <v>1.8273597268380797</v>
      </c>
      <c r="C534">
        <f t="shared" si="61"/>
        <v>-0.2537579445848217</v>
      </c>
      <c r="D534">
        <f t="shared" si="63"/>
        <v>0.96726775277587262</v>
      </c>
      <c r="E534">
        <f t="shared" si="64"/>
        <v>0.94997205152464737</v>
      </c>
      <c r="F534">
        <f t="shared" si="62"/>
        <v>2.5074531902342807E+22</v>
      </c>
    </row>
    <row r="535" spans="1:6" x14ac:dyDescent="0.2">
      <c r="A535">
        <f>A534+0.2</f>
        <v>104.90000000000096</v>
      </c>
      <c r="B535">
        <f t="shared" si="60"/>
        <v>1.8308503853420683</v>
      </c>
      <c r="C535">
        <f t="shared" si="61"/>
        <v>-0.25713279315471227</v>
      </c>
      <c r="D535">
        <f t="shared" si="63"/>
        <v>0.96637607932132508</v>
      </c>
      <c r="E535">
        <f t="shared" si="64"/>
        <v>0.9488760116444912</v>
      </c>
      <c r="F535">
        <f t="shared" si="62"/>
        <v>2.3625961526465428E+22</v>
      </c>
    </row>
    <row r="536" spans="1:6" x14ac:dyDescent="0.2">
      <c r="A536">
        <f t="shared" si="59"/>
        <v>105.10000000000096</v>
      </c>
      <c r="B536">
        <f t="shared" si="60"/>
        <v>1.834341043846057</v>
      </c>
      <c r="C536">
        <f t="shared" si="61"/>
        <v>-0.26050450864266439</v>
      </c>
      <c r="D536">
        <f t="shared" si="63"/>
        <v>0.96547263087922075</v>
      </c>
      <c r="E536">
        <f t="shared" si="64"/>
        <v>0.94776841000958034</v>
      </c>
      <c r="F536">
        <f t="shared" si="62"/>
        <v>2.2247106706210271E+22</v>
      </c>
    </row>
    <row r="537" spans="1:6" x14ac:dyDescent="0.2">
      <c r="A537">
        <f t="shared" si="59"/>
        <v>105.30000000000096</v>
      </c>
      <c r="B537">
        <f t="shared" si="60"/>
        <v>1.8378317023500459</v>
      </c>
      <c r="C537">
        <f t="shared" si="61"/>
        <v>-0.26387304996538913</v>
      </c>
      <c r="D537">
        <f t="shared" si="63"/>
        <v>0.96455741845779364</v>
      </c>
      <c r="E537">
        <f t="shared" si="64"/>
        <v>0.94664926011569084</v>
      </c>
      <c r="F537">
        <f t="shared" si="62"/>
        <v>2.0935594064292686E+22</v>
      </c>
    </row>
    <row r="538" spans="1:6" x14ac:dyDescent="0.2">
      <c r="A538">
        <f t="shared" si="59"/>
        <v>105.50000000000097</v>
      </c>
      <c r="B538">
        <f t="shared" si="60"/>
        <v>1.8413223608540343</v>
      </c>
      <c r="C538">
        <f t="shared" si="61"/>
        <v>-0.26723837607827289</v>
      </c>
      <c r="D538">
        <f t="shared" si="63"/>
        <v>0.96363045320861851</v>
      </c>
      <c r="E538">
        <f t="shared" si="64"/>
        <v>0.9455185755993113</v>
      </c>
      <c r="F538">
        <f t="shared" si="62"/>
        <v>1.9689063829243519E+22</v>
      </c>
    </row>
    <row r="539" spans="1:6" x14ac:dyDescent="0.2">
      <c r="A539">
        <f t="shared" si="59"/>
        <v>105.70000000000097</v>
      </c>
      <c r="B539">
        <f t="shared" si="60"/>
        <v>1.8448130193580232</v>
      </c>
      <c r="C539">
        <f t="shared" si="61"/>
        <v>-0.27060044597587984</v>
      </c>
      <c r="D539">
        <f t="shared" si="63"/>
        <v>0.96269174642647426</v>
      </c>
      <c r="E539">
        <f t="shared" si="64"/>
        <v>0.94437637023747556</v>
      </c>
      <c r="F539">
        <f t="shared" si="62"/>
        <v>1.8505175015241053E+22</v>
      </c>
    </row>
    <row r="540" spans="1:6" x14ac:dyDescent="0.2">
      <c r="A540">
        <f t="shared" si="59"/>
        <v>105.90000000000097</v>
      </c>
      <c r="B540">
        <f t="shared" si="60"/>
        <v>1.8483036778620119</v>
      </c>
      <c r="C540">
        <f t="shared" si="61"/>
        <v>-0.27395921869244866</v>
      </c>
      <c r="D540">
        <f t="shared" si="63"/>
        <v>0.96174130954920678</v>
      </c>
      <c r="E540">
        <f t="shared" si="64"/>
        <v>0.94322265794759541</v>
      </c>
      <c r="F540">
        <f t="shared" si="62"/>
        <v>1.7381610226016865E+22</v>
      </c>
    </row>
    <row r="541" spans="1:6" x14ac:dyDescent="0.2">
      <c r="A541">
        <f t="shared" si="59"/>
        <v>106.10000000000097</v>
      </c>
      <c r="B541">
        <f t="shared" si="60"/>
        <v>1.8517943363660005</v>
      </c>
      <c r="C541">
        <f t="shared" si="61"/>
        <v>-0.27731465330239402</v>
      </c>
      <c r="D541">
        <f t="shared" si="63"/>
        <v>0.96077915415758941</v>
      </c>
      <c r="E541">
        <f t="shared" si="64"/>
        <v>0.94205745278729092</v>
      </c>
      <c r="F541">
        <f t="shared" si="62"/>
        <v>1.6316080087606021E+22</v>
      </c>
    </row>
    <row r="542" spans="1:6" x14ac:dyDescent="0.2">
      <c r="A542">
        <f t="shared" si="59"/>
        <v>106.30000000000098</v>
      </c>
      <c r="B542">
        <f t="shared" si="60"/>
        <v>1.8552849948699894</v>
      </c>
      <c r="C542">
        <f t="shared" si="61"/>
        <v>-0.2806667089208042</v>
      </c>
      <c r="D542">
        <f t="shared" si="63"/>
        <v>0.95980529197518205</v>
      </c>
      <c r="E542">
        <f t="shared" si="64"/>
        <v>0.94088076895421957</v>
      </c>
      <c r="F542">
        <f t="shared" si="62"/>
        <v>1.5306327316070578E+22</v>
      </c>
    </row>
    <row r="543" spans="1:6" x14ac:dyDescent="0.2">
      <c r="A543">
        <f t="shared" si="59"/>
        <v>106.50000000000098</v>
      </c>
      <c r="B543">
        <f t="shared" si="60"/>
        <v>1.8587756533739781</v>
      </c>
      <c r="C543">
        <f t="shared" si="61"/>
        <v>-0.28401534470393902</v>
      </c>
      <c r="D543">
        <f t="shared" si="63"/>
        <v>0.95881973486818817</v>
      </c>
      <c r="E543">
        <f t="shared" si="64"/>
        <v>0.93969262078590243</v>
      </c>
      <c r="F543">
        <f t="shared" si="62"/>
        <v>1.4350130427582197E+22</v>
      </c>
    </row>
    <row r="544" spans="1:6" x14ac:dyDescent="0.2">
      <c r="A544">
        <f t="shared" si="59"/>
        <v>106.70000000000098</v>
      </c>
      <c r="B544">
        <f t="shared" si="60"/>
        <v>1.8622663118779668</v>
      </c>
      <c r="C544">
        <f t="shared" si="61"/>
        <v>-0.28736051984972838</v>
      </c>
      <c r="D544">
        <f t="shared" si="63"/>
        <v>0.95782249484531001</v>
      </c>
      <c r="E544">
        <f t="shared" si="64"/>
        <v>0.93849302275955004</v>
      </c>
      <c r="F544">
        <f t="shared" si="62"/>
        <v>1.3445307099380235E+22</v>
      </c>
    </row>
    <row r="545" spans="1:6" x14ac:dyDescent="0.2">
      <c r="A545">
        <f t="shared" si="59"/>
        <v>106.90000000000099</v>
      </c>
      <c r="B545">
        <f t="shared" si="60"/>
        <v>1.8657569703819554</v>
      </c>
      <c r="C545">
        <f t="shared" si="61"/>
        <v>-0.29070219359826882</v>
      </c>
      <c r="D545">
        <f t="shared" si="63"/>
        <v>0.95681358405760242</v>
      </c>
      <c r="E545">
        <f t="shared" si="64"/>
        <v>0.93728198949188546</v>
      </c>
      <c r="F545">
        <f t="shared" si="62"/>
        <v>1.2589717191135303E+22</v>
      </c>
    </row>
    <row r="546" spans="1:6" x14ac:dyDescent="0.2">
      <c r="A546">
        <f t="shared" si="59"/>
        <v>107.10000000000099</v>
      </c>
      <c r="B546">
        <f t="shared" si="60"/>
        <v>1.8692476288859441</v>
      </c>
      <c r="C546">
        <f t="shared" si="61"/>
        <v>-0.29404032523232032</v>
      </c>
      <c r="D546">
        <f t="shared" si="63"/>
        <v>0.95579301479832512</v>
      </c>
      <c r="E546">
        <f t="shared" si="64"/>
        <v>0.93605953573896716</v>
      </c>
      <c r="F546">
        <f t="shared" si="62"/>
        <v>1.1781265437151124E+22</v>
      </c>
    </row>
    <row r="547" spans="1:6" x14ac:dyDescent="0.2">
      <c r="A547">
        <f t="shared" si="59"/>
        <v>107.30000000000099</v>
      </c>
      <c r="B547">
        <f t="shared" si="60"/>
        <v>1.872738287389933</v>
      </c>
      <c r="C547">
        <f t="shared" si="61"/>
        <v>-0.2973748740778025</v>
      </c>
      <c r="D547">
        <f t="shared" si="63"/>
        <v>0.95476079950279225</v>
      </c>
      <c r="E547">
        <f t="shared" si="64"/>
        <v>0.93482567639600822</v>
      </c>
      <c r="F547">
        <f t="shared" si="62"/>
        <v>1.1017903820623258E+22</v>
      </c>
    </row>
    <row r="548" spans="1:6" x14ac:dyDescent="0.2">
      <c r="A548">
        <f t="shared" si="59"/>
        <v>107.50000000000099</v>
      </c>
      <c r="B548">
        <f t="shared" si="60"/>
        <v>1.8762289458939216</v>
      </c>
      <c r="C548">
        <f t="shared" si="61"/>
        <v>-0.30070579950428966</v>
      </c>
      <c r="D548">
        <f t="shared" si="63"/>
        <v>0.95371695074822171</v>
      </c>
      <c r="E548">
        <f t="shared" si="64"/>
        <v>0.93358042649719553</v>
      </c>
      <c r="F548">
        <f t="shared" si="62"/>
        <v>1.0297633641856999E+22</v>
      </c>
    </row>
    <row r="549" spans="1:6" x14ac:dyDescent="0.2">
      <c r="A549">
        <f t="shared" si="59"/>
        <v>107.700000000001</v>
      </c>
      <c r="B549">
        <f t="shared" si="60"/>
        <v>1.8797196043979103</v>
      </c>
      <c r="C549">
        <f t="shared" si="61"/>
        <v>-0.3040330609255068</v>
      </c>
      <c r="D549">
        <f t="shared" si="63"/>
        <v>0.95266148125358097</v>
      </c>
      <c r="E549">
        <f t="shared" si="64"/>
        <v>0.93232380121550584</v>
      </c>
      <c r="F549">
        <f t="shared" si="62"/>
        <v>9.6185072929156954E+21</v>
      </c>
    </row>
    <row r="550" spans="1:6" x14ac:dyDescent="0.2">
      <c r="A550">
        <f t="shared" si="59"/>
        <v>107.900000000001</v>
      </c>
      <c r="B550">
        <f t="shared" si="60"/>
        <v>1.883210262901899</v>
      </c>
      <c r="C550">
        <f t="shared" si="61"/>
        <v>-0.30735661779982359</v>
      </c>
      <c r="D550">
        <f t="shared" si="63"/>
        <v>0.95159440387943284</v>
      </c>
      <c r="E550">
        <f t="shared" si="64"/>
        <v>0.93105581586252184</v>
      </c>
      <c r="F550">
        <f t="shared" si="62"/>
        <v>8.9786297516428414E+21</v>
      </c>
    </row>
    <row r="551" spans="1:6" x14ac:dyDescent="0.2">
      <c r="A551">
        <f t="shared" si="59"/>
        <v>108.100000000001</v>
      </c>
      <c r="B551">
        <f t="shared" si="60"/>
        <v>1.8867009214058876</v>
      </c>
      <c r="C551">
        <f t="shared" si="61"/>
        <v>-0.31067642963074826</v>
      </c>
      <c r="D551">
        <f t="shared" si="63"/>
        <v>0.95051573162777836</v>
      </c>
      <c r="E551">
        <f t="shared" si="64"/>
        <v>0.92977648588824502</v>
      </c>
      <c r="F551">
        <f t="shared" si="62"/>
        <v>8.3761598083736808E+21</v>
      </c>
    </row>
    <row r="552" spans="1:6" x14ac:dyDescent="0.2">
      <c r="A552">
        <f t="shared" si="59"/>
        <v>108.30000000000101</v>
      </c>
      <c r="B552">
        <f t="shared" si="60"/>
        <v>1.8901915799098765</v>
      </c>
      <c r="C552">
        <f t="shared" si="61"/>
        <v>-0.31399245596742165</v>
      </c>
      <c r="D552">
        <f t="shared" si="63"/>
        <v>0.94942547764189833</v>
      </c>
      <c r="E552">
        <f t="shared" si="64"/>
        <v>0.92848582688090697</v>
      </c>
      <c r="F552">
        <f t="shared" si="62"/>
        <v>7.8093110389316319E+21</v>
      </c>
    </row>
    <row r="553" spans="1:6" x14ac:dyDescent="0.2">
      <c r="A553">
        <f t="shared" si="59"/>
        <v>108.50000000000101</v>
      </c>
      <c r="B553">
        <f t="shared" si="60"/>
        <v>1.8936822384138652</v>
      </c>
      <c r="C553">
        <f t="shared" si="61"/>
        <v>-0.3173046564051088</v>
      </c>
      <c r="D553">
        <f t="shared" si="63"/>
        <v>0.94832365520619377</v>
      </c>
      <c r="E553">
        <f t="shared" si="64"/>
        <v>0.92718385456678076</v>
      </c>
      <c r="F553">
        <f t="shared" si="62"/>
        <v>7.2763525376958928E+21</v>
      </c>
    </row>
    <row r="554" spans="1:6" x14ac:dyDescent="0.2">
      <c r="A554">
        <f t="shared" si="59"/>
        <v>108.70000000000101</v>
      </c>
      <c r="B554">
        <f t="shared" si="60"/>
        <v>1.8971728969178538</v>
      </c>
      <c r="C554">
        <f t="shared" si="61"/>
        <v>-0.32061299058569293</v>
      </c>
      <c r="D554">
        <f t="shared" si="63"/>
        <v>0.94721027774602318</v>
      </c>
      <c r="E554">
        <f t="shared" si="64"/>
        <v>0.92587058480998807</v>
      </c>
      <c r="F554">
        <f t="shared" si="62"/>
        <v>6.7756094246306877E+21</v>
      </c>
    </row>
    <row r="555" spans="1:6" x14ac:dyDescent="0.2">
      <c r="A555">
        <f t="shared" si="59"/>
        <v>108.90000000000101</v>
      </c>
      <c r="B555">
        <f t="shared" si="60"/>
        <v>1.9006635554218425</v>
      </c>
      <c r="C555">
        <f t="shared" si="61"/>
        <v>-0.32391741819816605</v>
      </c>
      <c r="D555">
        <f t="shared" si="63"/>
        <v>0.94608535882753964</v>
      </c>
      <c r="E555">
        <f t="shared" si="64"/>
        <v>0.92454603361230636</v>
      </c>
      <c r="F555">
        <f t="shared" si="62"/>
        <v>6.3054631401997342E+21</v>
      </c>
    </row>
    <row r="556" spans="1:6" x14ac:dyDescent="0.2">
      <c r="A556">
        <f t="shared" si="59"/>
        <v>109.10000000000102</v>
      </c>
      <c r="B556">
        <f t="shared" si="60"/>
        <v>1.9041542139258314</v>
      </c>
      <c r="C556">
        <f t="shared" si="61"/>
        <v>-0.32721789897912079</v>
      </c>
      <c r="D556">
        <f t="shared" si="63"/>
        <v>0.94494891215752497</v>
      </c>
      <c r="E556">
        <f t="shared" si="64"/>
        <v>0.92321021711297391</v>
      </c>
      <c r="F556">
        <f t="shared" si="62"/>
        <v>5.8643515420418171E+21</v>
      </c>
    </row>
    <row r="557" spans="1:6" x14ac:dyDescent="0.2">
      <c r="A557">
        <f t="shared" ref="A557:A559" si="65">A556+0.2</f>
        <v>109.30000000000102</v>
      </c>
      <c r="B557">
        <f t="shared" si="60"/>
        <v>1.9076448724298198</v>
      </c>
      <c r="C557">
        <f t="shared" si="61"/>
        <v>-0.33051439271323968</v>
      </c>
      <c r="D557">
        <f t="shared" si="63"/>
        <v>0.94380095158322364</v>
      </c>
      <c r="E557">
        <f t="shared" si="64"/>
        <v>0.92186315158849363</v>
      </c>
      <c r="F557">
        <f t="shared" si="62"/>
        <v>5.4507688171738937E+21</v>
      </c>
    </row>
    <row r="558" spans="1:6" x14ac:dyDescent="0.2">
      <c r="A558">
        <f t="shared" si="65"/>
        <v>109.50000000000102</v>
      </c>
      <c r="B558">
        <f t="shared" si="60"/>
        <v>1.9111355309338087</v>
      </c>
      <c r="C558">
        <f t="shared" si="61"/>
        <v>-0.33380685923378772</v>
      </c>
      <c r="D558">
        <f t="shared" si="63"/>
        <v>0.94264149109217243</v>
      </c>
      <c r="E558">
        <f t="shared" si="64"/>
        <v>0.92050485345243327</v>
      </c>
      <c r="F558">
        <f t="shared" si="62"/>
        <v>5.0632652233128301E+21</v>
      </c>
    </row>
    <row r="559" spans="1:6" x14ac:dyDescent="0.2">
      <c r="A559">
        <f t="shared" si="65"/>
        <v>109.70000000000103</v>
      </c>
      <c r="B559">
        <f t="shared" si="60"/>
        <v>1.9146261894377974</v>
      </c>
      <c r="C559">
        <f t="shared" si="61"/>
        <v>-0.3370952584230989</v>
      </c>
      <c r="D559">
        <f t="shared" si="63"/>
        <v>0.94147054481203196</v>
      </c>
      <c r="E559">
        <f t="shared" si="64"/>
        <v>0.91913533925522739</v>
      </c>
      <c r="F559">
        <f t="shared" si="62"/>
        <v>4.7004466726805916E+21</v>
      </c>
    </row>
    <row r="560" spans="1:6" x14ac:dyDescent="0.2">
      <c r="A560">
        <f>A559+0.2</f>
        <v>109.90000000000103</v>
      </c>
      <c r="B560">
        <f t="shared" si="60"/>
        <v>1.9181168479417861</v>
      </c>
      <c r="C560">
        <f t="shared" si="61"/>
        <v>-0.34037955021306693</v>
      </c>
      <c r="D560">
        <f t="shared" si="63"/>
        <v>0.94028812701041287</v>
      </c>
      <c r="E560">
        <f t="shared" si="64"/>
        <v>0.91775462568397403</v>
      </c>
      <c r="F560">
        <f t="shared" si="62"/>
        <v>4.3609741713708947E+21</v>
      </c>
    </row>
    <row r="561" spans="1:6" x14ac:dyDescent="0.2">
      <c r="A561">
        <f t="shared" ref="A561:A584" si="66">A560+0.2</f>
        <v>110.10000000000103</v>
      </c>
      <c r="B561">
        <f t="shared" si="60"/>
        <v>1.9216075064457749</v>
      </c>
      <c r="C561">
        <f t="shared" si="61"/>
        <v>-0.34365969458563306</v>
      </c>
      <c r="D561">
        <f t="shared" si="63"/>
        <v>0.93909425209470287</v>
      </c>
      <c r="E561">
        <f t="shared" si="64"/>
        <v>0.9163627295622323</v>
      </c>
      <c r="F561">
        <f t="shared" si="62"/>
        <v>4.0435631270367409E+21</v>
      </c>
    </row>
    <row r="562" spans="1:6" x14ac:dyDescent="0.2">
      <c r="A562">
        <f t="shared" si="66"/>
        <v>110.30000000000103</v>
      </c>
      <c r="B562">
        <f t="shared" si="60"/>
        <v>1.9250981649497634</v>
      </c>
      <c r="C562">
        <f t="shared" si="61"/>
        <v>-0.34693565157327261</v>
      </c>
      <c r="D562">
        <f t="shared" si="63"/>
        <v>0.93788893461189149</v>
      </c>
      <c r="E562">
        <f t="shared" si="64"/>
        <v>0.91495966784981764</v>
      </c>
      <c r="F562">
        <f t="shared" si="62"/>
        <v>3.7469825372841978E+21</v>
      </c>
    </row>
    <row r="563" spans="1:6" x14ac:dyDescent="0.2">
      <c r="A563">
        <f t="shared" si="66"/>
        <v>110.50000000000104</v>
      </c>
      <c r="B563">
        <f t="shared" si="60"/>
        <v>1.9285888234537523</v>
      </c>
      <c r="C563">
        <f t="shared" si="61"/>
        <v>-0.35020738125948442</v>
      </c>
      <c r="D563">
        <f t="shared" si="63"/>
        <v>0.93667218924839124</v>
      </c>
      <c r="E563">
        <f t="shared" si="64"/>
        <v>0.91354545764259354</v>
      </c>
      <c r="F563">
        <f t="shared" si="62"/>
        <v>3.4700540707609898E+21</v>
      </c>
    </row>
    <row r="564" spans="1:6" x14ac:dyDescent="0.2">
      <c r="A564">
        <f t="shared" si="66"/>
        <v>110.70000000000104</v>
      </c>
      <c r="B564">
        <f t="shared" si="60"/>
        <v>1.9320794819577409</v>
      </c>
      <c r="C564">
        <f t="shared" si="61"/>
        <v>-0.35347484377927402</v>
      </c>
      <c r="D564">
        <f t="shared" si="63"/>
        <v>0.93544403082986094</v>
      </c>
      <c r="E564">
        <f t="shared" si="64"/>
        <v>0.91212011617226552</v>
      </c>
      <c r="F564">
        <f t="shared" si="62"/>
        <v>3.2116510524944799E+21</v>
      </c>
    </row>
    <row r="565" spans="1:6" x14ac:dyDescent="0.2">
      <c r="A565">
        <f t="shared" si="66"/>
        <v>110.90000000000104</v>
      </c>
      <c r="B565">
        <f t="shared" si="60"/>
        <v>1.9355701404617296</v>
      </c>
      <c r="C565">
        <f t="shared" si="61"/>
        <v>-0.35673799931964212</v>
      </c>
      <c r="D565">
        <f t="shared" si="63"/>
        <v>0.93420447432102305</v>
      </c>
      <c r="E565">
        <f t="shared" si="64"/>
        <v>0.91068366080616958</v>
      </c>
      <c r="F565">
        <f t="shared" si="62"/>
        <v>2.9706973645758052E+21</v>
      </c>
    </row>
    <row r="566" spans="1:6" x14ac:dyDescent="0.2">
      <c r="A566">
        <f t="shared" si="66"/>
        <v>111.10000000000105</v>
      </c>
      <c r="B566">
        <f t="shared" si="60"/>
        <v>1.9390607989657185</v>
      </c>
      <c r="C566">
        <f t="shared" si="61"/>
        <v>-0.35999680812006829</v>
      </c>
      <c r="D566">
        <f t="shared" si="63"/>
        <v>0.93295353482548249</v>
      </c>
      <c r="E566">
        <f t="shared" si="64"/>
        <v>0.90923610904706087</v>
      </c>
      <c r="F566">
        <f t="shared" si="62"/>
        <v>2.746166272809345E+21</v>
      </c>
    </row>
    <row r="567" spans="1:6" x14ac:dyDescent="0.2">
      <c r="A567">
        <f t="shared" si="66"/>
        <v>111.30000000000105</v>
      </c>
      <c r="B567">
        <f t="shared" si="60"/>
        <v>1.9425514574697069</v>
      </c>
      <c r="C567">
        <f t="shared" si="61"/>
        <v>-0.36325123047299523</v>
      </c>
      <c r="D567">
        <f t="shared" si="63"/>
        <v>0.93169122758554235</v>
      </c>
      <c r="E567">
        <f t="shared" si="64"/>
        <v>0.90777747853290103</v>
      </c>
      <c r="F567">
        <f t="shared" si="62"/>
        <v>2.5370791894520362E+21</v>
      </c>
    </row>
    <row r="568" spans="1:6" x14ac:dyDescent="0.2">
      <c r="A568">
        <f t="shared" si="66"/>
        <v>111.50000000000105</v>
      </c>
      <c r="B568">
        <f t="shared" si="60"/>
        <v>1.9460421159736958</v>
      </c>
      <c r="C568">
        <f t="shared" si="61"/>
        <v>-0.36650122672431434</v>
      </c>
      <c r="D568">
        <f t="shared" si="63"/>
        <v>0.9304175679820178</v>
      </c>
      <c r="E568">
        <f t="shared" si="64"/>
        <v>0.90630778703664217</v>
      </c>
      <c r="F568">
        <f t="shared" si="62"/>
        <v>2.3425043816581117E+21</v>
      </c>
    </row>
    <row r="569" spans="1:6" x14ac:dyDescent="0.2">
      <c r="A569">
        <f t="shared" si="66"/>
        <v>111.70000000000105</v>
      </c>
      <c r="B569">
        <f t="shared" si="60"/>
        <v>1.9495327744776847</v>
      </c>
      <c r="C569">
        <f t="shared" si="61"/>
        <v>-0.36974675727384654</v>
      </c>
      <c r="D569">
        <f t="shared" si="63"/>
        <v>0.92913257153404927</v>
      </c>
      <c r="E569">
        <f t="shared" si="64"/>
        <v>0.90482705246601158</v>
      </c>
      <c r="F569">
        <f t="shared" si="62"/>
        <v>2.1615556347308613E+21</v>
      </c>
    </row>
    <row r="570" spans="1:6" x14ac:dyDescent="0.2">
      <c r="A570">
        <f t="shared" si="66"/>
        <v>111.90000000000106</v>
      </c>
      <c r="B570">
        <f t="shared" si="60"/>
        <v>1.9530234329816731</v>
      </c>
      <c r="C570">
        <f t="shared" si="61"/>
        <v>-0.37298778257582593</v>
      </c>
      <c r="D570">
        <f t="shared" si="63"/>
        <v>0.92783625389891311</v>
      </c>
      <c r="E570">
        <f t="shared" si="64"/>
        <v>0.90333529286329284</v>
      </c>
      <c r="F570">
        <f t="shared" si="62"/>
        <v>1.9933908787607755E+21</v>
      </c>
    </row>
    <row r="571" spans="1:6" x14ac:dyDescent="0.2">
      <c r="A571">
        <f t="shared" si="66"/>
        <v>112.10000000000106</v>
      </c>
      <c r="B571">
        <f t="shared" si="60"/>
        <v>1.956514091485662</v>
      </c>
      <c r="C571">
        <f t="shared" si="61"/>
        <v>-0.37622426313938279</v>
      </c>
      <c r="D571">
        <f t="shared" si="63"/>
        <v>0.92652863087183035</v>
      </c>
      <c r="E571">
        <f t="shared" si="64"/>
        <v>0.90183252640510569</v>
      </c>
      <c r="F571">
        <f t="shared" si="62"/>
        <v>1.8372107867075141E+21</v>
      </c>
    </row>
    <row r="572" spans="1:6" x14ac:dyDescent="0.2">
      <c r="A572">
        <f t="shared" si="66"/>
        <v>112.30000000000106</v>
      </c>
      <c r="B572">
        <f t="shared" si="60"/>
        <v>1.9600047499896505</v>
      </c>
      <c r="C572">
        <f t="shared" si="61"/>
        <v>-0.37945615952902206</v>
      </c>
      <c r="D572">
        <f t="shared" si="63"/>
        <v>0.92520971838577515</v>
      </c>
      <c r="E572">
        <f t="shared" si="64"/>
        <v>0.90031877140218541</v>
      </c>
      <c r="F572">
        <f t="shared" si="62"/>
        <v>1.6922573514621135E+21</v>
      </c>
    </row>
    <row r="573" spans="1:6" x14ac:dyDescent="0.2">
      <c r="A573">
        <f t="shared" si="66"/>
        <v>112.50000000000107</v>
      </c>
      <c r="B573">
        <f t="shared" si="60"/>
        <v>1.9634954084936393</v>
      </c>
      <c r="C573">
        <f t="shared" si="61"/>
        <v>-0.38268343236510693</v>
      </c>
      <c r="D573">
        <f t="shared" si="63"/>
        <v>0.92387953251127963</v>
      </c>
      <c r="E573">
        <f t="shared" si="64"/>
        <v>0.89879404629915882</v>
      </c>
      <c r="F573">
        <f t="shared" si="62"/>
        <v>1.5578124489090073E+21</v>
      </c>
    </row>
    <row r="574" spans="1:6" x14ac:dyDescent="0.2">
      <c r="A574">
        <f t="shared" si="66"/>
        <v>112.70000000000107</v>
      </c>
      <c r="B574">
        <f t="shared" si="60"/>
        <v>1.9669860669976282</v>
      </c>
      <c r="C574">
        <f t="shared" si="61"/>
        <v>-0.38590604232433595</v>
      </c>
      <c r="D574">
        <f t="shared" si="63"/>
        <v>0.92253808945623905</v>
      </c>
      <c r="E574">
        <f t="shared" si="64"/>
        <v>0.89725836967431993</v>
      </c>
      <c r="F574">
        <f t="shared" si="62"/>
        <v>1.4331963934976791E+21</v>
      </c>
    </row>
    <row r="575" spans="1:6" x14ac:dyDescent="0.2">
      <c r="A575">
        <f t="shared" si="66"/>
        <v>112.90000000000107</v>
      </c>
      <c r="B575">
        <f t="shared" si="60"/>
        <v>1.9704767255016167</v>
      </c>
      <c r="C575">
        <f t="shared" si="61"/>
        <v>-0.38912395014022338</v>
      </c>
      <c r="D575">
        <f t="shared" si="63"/>
        <v>0.92118540556571393</v>
      </c>
      <c r="E575">
        <f t="shared" si="64"/>
        <v>0.89571176023940446</v>
      </c>
      <c r="F575">
        <f t="shared" si="62"/>
        <v>1.3177664923334557E+21</v>
      </c>
    </row>
    <row r="576" spans="1:6" x14ac:dyDescent="0.2">
      <c r="A576">
        <f t="shared" si="66"/>
        <v>113.10000000000107</v>
      </c>
      <c r="B576">
        <f t="shared" si="60"/>
        <v>1.9739673840056056</v>
      </c>
      <c r="C576">
        <f t="shared" si="61"/>
        <v>-0.39233711660357878</v>
      </c>
      <c r="D576">
        <f t="shared" si="63"/>
        <v>0.91982149732173024</v>
      </c>
      <c r="E576">
        <f t="shared" si="64"/>
        <v>0.89415423683935968</v>
      </c>
      <c r="F576">
        <f t="shared" si="62"/>
        <v>1.2109156033071664E+21</v>
      </c>
    </row>
    <row r="577" spans="1:6" x14ac:dyDescent="0.2">
      <c r="A577">
        <f t="shared" si="66"/>
        <v>113.30000000000108</v>
      </c>
      <c r="B577">
        <f t="shared" si="60"/>
        <v>1.977458042509594</v>
      </c>
      <c r="C577">
        <f t="shared" si="61"/>
        <v>-0.39554550256298199</v>
      </c>
      <c r="D577">
        <f t="shared" si="63"/>
        <v>0.91844638134307988</v>
      </c>
      <c r="E577">
        <f t="shared" si="64"/>
        <v>0.89258581845211715</v>
      </c>
      <c r="F577">
        <f t="shared" si="62"/>
        <v>1.1120707023079051E+21</v>
      </c>
    </row>
    <row r="578" spans="1:6" x14ac:dyDescent="0.2">
      <c r="A578">
        <f t="shared" si="66"/>
        <v>113.50000000000108</v>
      </c>
      <c r="B578">
        <f t="shared" si="60"/>
        <v>1.9809487010135829</v>
      </c>
      <c r="C578">
        <f t="shared" si="61"/>
        <v>-0.39874906892526346</v>
      </c>
      <c r="D578">
        <f t="shared" si="63"/>
        <v>0.9170600743851165</v>
      </c>
      <c r="E578">
        <f t="shared" si="64"/>
        <v>0.89100652418835924</v>
      </c>
      <c r="F578">
        <f t="shared" si="62"/>
        <v>1.0206914641006083E+21</v>
      </c>
    </row>
    <row r="579" spans="1:6" x14ac:dyDescent="0.2">
      <c r="A579">
        <f t="shared" si="66"/>
        <v>113.70000000000108</v>
      </c>
      <c r="B579">
        <f t="shared" si="60"/>
        <v>1.9844393595175718</v>
      </c>
      <c r="C579">
        <f t="shared" si="61"/>
        <v>-0.40194777665597758</v>
      </c>
      <c r="D579">
        <f t="shared" si="63"/>
        <v>0.91566259333955335</v>
      </c>
      <c r="E579">
        <f t="shared" si="64"/>
        <v>0.88941637329128864</v>
      </c>
      <c r="F579">
        <f t="shared" si="62"/>
        <v>9.3626886100605691E+20</v>
      </c>
    </row>
    <row r="580" spans="1:6" x14ac:dyDescent="0.2">
      <c r="A580">
        <f t="shared" si="66"/>
        <v>113.90000000000109</v>
      </c>
      <c r="B580">
        <f t="shared" si="60"/>
        <v>1.9879300180215602</v>
      </c>
      <c r="C580">
        <f t="shared" si="61"/>
        <v>-0.40514158677987977</v>
      </c>
      <c r="D580">
        <f t="shared" si="63"/>
        <v>0.91425395523425612</v>
      </c>
      <c r="E580">
        <f t="shared" si="64"/>
        <v>0.88781538513639258</v>
      </c>
      <c r="F580">
        <f t="shared" si="62"/>
        <v>8.5832378309120963E+20</v>
      </c>
    </row>
    <row r="581" spans="1:6" x14ac:dyDescent="0.2">
      <c r="A581">
        <f t="shared" si="66"/>
        <v>114.10000000000109</v>
      </c>
      <c r="B581">
        <f t="shared" si="60"/>
        <v>1.9914206765255491</v>
      </c>
      <c r="C581">
        <f t="shared" si="61"/>
        <v>-0.4083304603814023</v>
      </c>
      <c r="D581">
        <f t="shared" si="63"/>
        <v>0.91283417723303506</v>
      </c>
      <c r="E581">
        <f t="shared" si="64"/>
        <v>0.88620357923120585</v>
      </c>
      <c r="F581">
        <f t="shared" si="62"/>
        <v>7.8640568316873186E+20</v>
      </c>
    </row>
    <row r="582" spans="1:6" x14ac:dyDescent="0.2">
      <c r="A582">
        <f t="shared" si="66"/>
        <v>114.30000000000109</v>
      </c>
      <c r="B582">
        <f t="shared" si="60"/>
        <v>1.9949113350295375</v>
      </c>
      <c r="C582">
        <f t="shared" si="61"/>
        <v>-0.41151435860512597</v>
      </c>
      <c r="D582">
        <f t="shared" si="63"/>
        <v>0.91140327663543752</v>
      </c>
      <c r="E582">
        <f t="shared" si="64"/>
        <v>0.88458097521507517</v>
      </c>
      <c r="F582">
        <f t="shared" si="62"/>
        <v>7.200912495129812E+20</v>
      </c>
    </row>
    <row r="583" spans="1:6" x14ac:dyDescent="0.2">
      <c r="A583">
        <f t="shared" si="66"/>
        <v>114.50000000000109</v>
      </c>
      <c r="B583">
        <f t="shared" si="60"/>
        <v>1.9984019935335264</v>
      </c>
      <c r="C583">
        <f t="shared" si="61"/>
        <v>-0.4146932426562564</v>
      </c>
      <c r="D583">
        <f t="shared" si="63"/>
        <v>0.90996127087653533</v>
      </c>
      <c r="E583">
        <f t="shared" si="64"/>
        <v>0.882947592858918</v>
      </c>
      <c r="F583">
        <f t="shared" si="62"/>
        <v>6.5898310882754088E+20</v>
      </c>
    </row>
    <row r="584" spans="1:6" x14ac:dyDescent="0.2">
      <c r="A584">
        <f t="shared" si="66"/>
        <v>114.7000000000011</v>
      </c>
      <c r="B584">
        <f t="shared" si="60"/>
        <v>2.0018926520375153</v>
      </c>
      <c r="C584">
        <f t="shared" si="61"/>
        <v>-0.41786707380109428</v>
      </c>
      <c r="D584">
        <f t="shared" si="63"/>
        <v>0.90850817752671376</v>
      </c>
      <c r="E584">
        <f t="shared" si="64"/>
        <v>0.88130345206498306</v>
      </c>
      <c r="F584">
        <f t="shared" si="62"/>
        <v>6.0270856164804369E+20</v>
      </c>
    </row>
    <row r="585" spans="1:6" x14ac:dyDescent="0.2">
      <c r="A585">
        <f>A584+0.2</f>
        <v>114.9000000000011</v>
      </c>
      <c r="B585">
        <f t="shared" si="60"/>
        <v>2.0053833105415038</v>
      </c>
      <c r="C585">
        <f t="shared" si="61"/>
        <v>-0.42103581336750834</v>
      </c>
      <c r="D585">
        <f t="shared" si="63"/>
        <v>0.90704401429145687</v>
      </c>
      <c r="E585">
        <f t="shared" si="64"/>
        <v>0.87964857286660736</v>
      </c>
      <c r="F585">
        <f t="shared" si="62"/>
        <v>5.5091835203143264E+20</v>
      </c>
    </row>
    <row r="586" spans="1:6" x14ac:dyDescent="0.2">
      <c r="A586">
        <f t="shared" ref="A586:A649" si="67">A585+0.2</f>
        <v>115.1000000000011</v>
      </c>
      <c r="B586">
        <f t="shared" si="60"/>
        <v>2.0088739690454926</v>
      </c>
      <c r="C586">
        <f t="shared" si="61"/>
        <v>-0.42419942274540767</v>
      </c>
      <c r="D586">
        <f t="shared" si="63"/>
        <v>0.90556879901113141</v>
      </c>
      <c r="E586">
        <f t="shared" si="64"/>
        <v>0.87798297542797132</v>
      </c>
      <c r="F586">
        <f t="shared" si="62"/>
        <v>5.032854730715212E+20</v>
      </c>
    </row>
    <row r="587" spans="1:6" x14ac:dyDescent="0.2">
      <c r="A587">
        <f t="shared" si="67"/>
        <v>115.30000000000111</v>
      </c>
      <c r="B587">
        <f t="shared" ref="B587:B650" si="68">A587*PI()/180</f>
        <v>2.0123646275494811</v>
      </c>
      <c r="C587">
        <f t="shared" ref="C587:C650" si="69">COS(B587)</f>
        <v>-0.42735786338720966</v>
      </c>
      <c r="D587">
        <f t="shared" si="63"/>
        <v>0.90408254966077017</v>
      </c>
      <c r="E587">
        <f t="shared" si="64"/>
        <v>0.87630668004385426</v>
      </c>
      <c r="F587">
        <f t="shared" ref="F587:F650" si="70">EXP(E587*$C$5*$C$6^2/($C$3*$C$2))</f>
        <v>4.5950400948868311E+20</v>
      </c>
    </row>
    <row r="588" spans="1:6" x14ac:dyDescent="0.2">
      <c r="A588">
        <f t="shared" si="67"/>
        <v>115.50000000000111</v>
      </c>
      <c r="B588">
        <f t="shared" si="68"/>
        <v>2.01585528605347</v>
      </c>
      <c r="C588">
        <f t="shared" si="69"/>
        <v>-0.43051109680831257</v>
      </c>
      <c r="D588">
        <f t="shared" si="63"/>
        <v>0.9025852843498523</v>
      </c>
      <c r="E588">
        <f t="shared" si="64"/>
        <v>0.87461970713938642</v>
      </c>
      <c r="F588">
        <f t="shared" si="70"/>
        <v>4.1928801826979342E+20</v>
      </c>
    </row>
    <row r="589" spans="1:6" x14ac:dyDescent="0.2">
      <c r="A589">
        <f t="shared" si="67"/>
        <v>115.70000000000111</v>
      </c>
      <c r="B589">
        <f t="shared" si="68"/>
        <v>2.0193459445574589</v>
      </c>
      <c r="C589">
        <f t="shared" si="69"/>
        <v>-0.43365908458756192</v>
      </c>
      <c r="D589">
        <f t="shared" si="63"/>
        <v>0.90107702132208312</v>
      </c>
      <c r="E589">
        <f t="shared" si="64"/>
        <v>0.87292207726980009</v>
      </c>
      <c r="F589">
        <f t="shared" si="70"/>
        <v>3.8237044808237187E+20</v>
      </c>
    </row>
    <row r="590" spans="1:6" x14ac:dyDescent="0.2">
      <c r="A590">
        <f t="shared" si="67"/>
        <v>115.90000000000111</v>
      </c>
      <c r="B590">
        <f t="shared" si="68"/>
        <v>2.0228366030614473</v>
      </c>
      <c r="C590">
        <f t="shared" si="69"/>
        <v>-0.4368017883677196</v>
      </c>
      <c r="D590">
        <f t="shared" si="63"/>
        <v>0.89955777895517186</v>
      </c>
      <c r="E590">
        <f t="shared" si="64"/>
        <v>0.87121381112017993</v>
      </c>
      <c r="F590">
        <f t="shared" si="70"/>
        <v>3.4850209795410579E+20</v>
      </c>
    </row>
    <row r="591" spans="1:6" x14ac:dyDescent="0.2">
      <c r="A591">
        <f t="shared" si="67"/>
        <v>116.10000000000112</v>
      </c>
      <c r="B591">
        <f t="shared" si="68"/>
        <v>2.0263272615654362</v>
      </c>
      <c r="C591">
        <f t="shared" si="69"/>
        <v>-0.43993916985593268</v>
      </c>
      <c r="D591">
        <f t="shared" si="63"/>
        <v>0.89802757576060699</v>
      </c>
      <c r="E591">
        <f t="shared" si="64"/>
        <v>0.86949492950520924</v>
      </c>
      <c r="F591">
        <f t="shared" si="70"/>
        <v>3.1745061549454472E+20</v>
      </c>
    </row>
    <row r="592" spans="1:6" x14ac:dyDescent="0.2">
      <c r="A592">
        <f t="shared" si="67"/>
        <v>116.30000000000112</v>
      </c>
      <c r="B592">
        <f t="shared" si="68"/>
        <v>2.0298179200694246</v>
      </c>
      <c r="C592">
        <f t="shared" si="69"/>
        <v>-0.44307119082419705</v>
      </c>
      <c r="D592">
        <f t="shared" si="63"/>
        <v>0.8964864303834319</v>
      </c>
      <c r="E592">
        <f t="shared" si="64"/>
        <v>0.86776545336891875</v>
      </c>
      <c r="F592">
        <f t="shared" si="70"/>
        <v>2.8899953474039998E+20</v>
      </c>
    </row>
    <row r="593" spans="1:6" x14ac:dyDescent="0.2">
      <c r="A593">
        <f t="shared" si="67"/>
        <v>116.50000000000112</v>
      </c>
      <c r="B593">
        <f t="shared" si="68"/>
        <v>2.0333085785734135</v>
      </c>
      <c r="C593">
        <f t="shared" si="69"/>
        <v>-0.44619781310982631</v>
      </c>
      <c r="D593">
        <f t="shared" si="63"/>
        <v>0.89493436160201634</v>
      </c>
      <c r="E593">
        <f t="shared" si="64"/>
        <v>0.86602540378442883</v>
      </c>
      <c r="F593">
        <f t="shared" si="70"/>
        <v>2.6294735352721981E+20</v>
      </c>
    </row>
    <row r="594" spans="1:6" x14ac:dyDescent="0.2">
      <c r="A594">
        <f t="shared" si="67"/>
        <v>116.70000000000113</v>
      </c>
      <c r="B594">
        <f t="shared" si="68"/>
        <v>2.036799237077402</v>
      </c>
      <c r="C594">
        <f t="shared" si="69"/>
        <v>-0.4493189986159139</v>
      </c>
      <c r="D594">
        <f t="shared" si="63"/>
        <v>0.89337138832782881</v>
      </c>
      <c r="E594">
        <f t="shared" si="64"/>
        <v>0.86427480195369488</v>
      </c>
      <c r="F594">
        <f t="shared" si="70"/>
        <v>2.3910665012958691E+20</v>
      </c>
    </row>
    <row r="595" spans="1:6" x14ac:dyDescent="0.2">
      <c r="A595">
        <f t="shared" si="67"/>
        <v>116.90000000000113</v>
      </c>
      <c r="B595">
        <f t="shared" si="68"/>
        <v>2.0402898955813908</v>
      </c>
      <c r="C595">
        <f t="shared" si="69"/>
        <v>-0.45243470931180019</v>
      </c>
      <c r="D595">
        <f t="shared" si="63"/>
        <v>0.8917975296052052</v>
      </c>
      <c r="E595">
        <f t="shared" si="64"/>
        <v>0.86251366920724748</v>
      </c>
      <c r="F595">
        <f t="shared" si="70"/>
        <v>2.1730323876676174E+20</v>
      </c>
    </row>
    <row r="596" spans="1:6" x14ac:dyDescent="0.2">
      <c r="A596">
        <f t="shared" si="67"/>
        <v>117.10000000000113</v>
      </c>
      <c r="B596">
        <f t="shared" si="68"/>
        <v>2.0437805540853797</v>
      </c>
      <c r="C596">
        <f t="shared" si="69"/>
        <v>-0.45554490723353319</v>
      </c>
      <c r="D596">
        <f t="shared" si="63"/>
        <v>0.89021280461111751</v>
      </c>
      <c r="E596">
        <f t="shared" si="64"/>
        <v>0.86074202700393343</v>
      </c>
      <c r="F596">
        <f t="shared" si="70"/>
        <v>1.9737536344179589E+20</v>
      </c>
    </row>
    <row r="597" spans="1:6" x14ac:dyDescent="0.2">
      <c r="A597">
        <f t="shared" si="67"/>
        <v>117.30000000000113</v>
      </c>
      <c r="B597">
        <f t="shared" si="68"/>
        <v>2.0472712125893682</v>
      </c>
      <c r="C597">
        <f t="shared" si="69"/>
        <v>-0.45864955448433237</v>
      </c>
      <c r="D597">
        <f t="shared" ref="D597:D660" si="71">SIN(B597)</f>
        <v>0.88861723265493986</v>
      </c>
      <c r="E597">
        <f t="shared" ref="E597:E660" si="72">C597*$E$7+D597*$F$7</f>
        <v>0.85895989693065444</v>
      </c>
      <c r="F597">
        <f t="shared" si="70"/>
        <v>1.791729294675583E+20</v>
      </c>
    </row>
    <row r="598" spans="1:6" x14ac:dyDescent="0.2">
      <c r="A598">
        <f t="shared" si="67"/>
        <v>117.50000000000114</v>
      </c>
      <c r="B598">
        <f t="shared" si="68"/>
        <v>2.0507618710933571</v>
      </c>
      <c r="C598">
        <f t="shared" si="69"/>
        <v>-0.46174861323505151</v>
      </c>
      <c r="D598">
        <f t="shared" si="71"/>
        <v>0.88701083317821261</v>
      </c>
      <c r="E598">
        <f t="shared" si="72"/>
        <v>0.85716730070210212</v>
      </c>
      <c r="F598">
        <f t="shared" si="70"/>
        <v>1.6255677193285321E+20</v>
      </c>
    </row>
    <row r="599" spans="1:6" x14ac:dyDescent="0.2">
      <c r="A599">
        <f t="shared" si="67"/>
        <v>117.70000000000114</v>
      </c>
      <c r="B599">
        <f t="shared" si="68"/>
        <v>2.0542525295973455</v>
      </c>
      <c r="C599">
        <f t="shared" si="69"/>
        <v>-0.464842045724637</v>
      </c>
      <c r="D599">
        <f t="shared" si="71"/>
        <v>0.88539362575440672</v>
      </c>
      <c r="E599">
        <f t="shared" si="72"/>
        <v>0.85536426016049638</v>
      </c>
      <c r="F599">
        <f t="shared" si="70"/>
        <v>1.4739796027482007E+20</v>
      </c>
    </row>
    <row r="600" spans="1:6" x14ac:dyDescent="0.2">
      <c r="A600">
        <f t="shared" si="67"/>
        <v>117.90000000000114</v>
      </c>
      <c r="B600">
        <f t="shared" si="68"/>
        <v>2.0577431881013344</v>
      </c>
      <c r="C600">
        <f t="shared" si="69"/>
        <v>-0.46792981426059088</v>
      </c>
      <c r="D600">
        <f t="shared" si="71"/>
        <v>0.88376563008868414</v>
      </c>
      <c r="E600">
        <f t="shared" si="72"/>
        <v>0.85355079727531702</v>
      </c>
      <c r="F600">
        <f t="shared" si="70"/>
        <v>1.335771380489951E+20</v>
      </c>
    </row>
    <row r="601" spans="1:6" x14ac:dyDescent="0.2">
      <c r="A601">
        <f t="shared" si="67"/>
        <v>118.10000000000115</v>
      </c>
      <c r="B601">
        <f t="shared" si="68"/>
        <v>2.0612338466053233</v>
      </c>
      <c r="C601">
        <f t="shared" si="69"/>
        <v>-0.47101188121942766</v>
      </c>
      <c r="D601">
        <f t="shared" si="71"/>
        <v>0.88212686601765833</v>
      </c>
      <c r="E601">
        <f t="shared" si="72"/>
        <v>0.85172693414303702</v>
      </c>
      <c r="F601">
        <f t="shared" si="70"/>
        <v>1.2098389692569829E+20</v>
      </c>
    </row>
    <row r="602" spans="1:6" x14ac:dyDescent="0.2">
      <c r="A602">
        <f t="shared" si="67"/>
        <v>118.30000000000115</v>
      </c>
      <c r="B602">
        <f t="shared" si="68"/>
        <v>2.0647245051093117</v>
      </c>
      <c r="C602">
        <f t="shared" si="69"/>
        <v>-0.47408820904713372</v>
      </c>
      <c r="D602">
        <f t="shared" si="71"/>
        <v>0.88047735350915257</v>
      </c>
      <c r="E602">
        <f t="shared" si="72"/>
        <v>0.84989269298685344</v>
      </c>
      <c r="F602">
        <f t="shared" si="70"/>
        <v>1.0951618388919434E+20</v>
      </c>
    </row>
    <row r="603" spans="1:6" x14ac:dyDescent="0.2">
      <c r="A603">
        <f t="shared" si="67"/>
        <v>118.50000000000115</v>
      </c>
      <c r="B603">
        <f t="shared" si="68"/>
        <v>2.0682151636133006</v>
      </c>
      <c r="C603">
        <f t="shared" si="69"/>
        <v>-0.47715876025962606</v>
      </c>
      <c r="D603">
        <f t="shared" si="71"/>
        <v>0.87881711266195583</v>
      </c>
      <c r="E603">
        <f t="shared" si="72"/>
        <v>0.8480480961564153</v>
      </c>
      <c r="F603">
        <f t="shared" si="70"/>
        <v>9.9079740574187553E+19</v>
      </c>
    </row>
    <row r="604" spans="1:6" x14ac:dyDescent="0.2">
      <c r="A604">
        <f t="shared" si="67"/>
        <v>118.70000000000115</v>
      </c>
      <c r="B604">
        <f t="shared" si="68"/>
        <v>2.071705822117289</v>
      </c>
      <c r="C604">
        <f t="shared" si="69"/>
        <v>-0.4802234974432063</v>
      </c>
      <c r="D604">
        <f t="shared" si="71"/>
        <v>0.8771461637055793</v>
      </c>
      <c r="E604">
        <f t="shared" si="72"/>
        <v>0.84619316612755346</v>
      </c>
      <c r="F604">
        <f t="shared" si="70"/>
        <v>8.958757364158174E+19</v>
      </c>
    </row>
    <row r="605" spans="1:6" x14ac:dyDescent="0.2">
      <c r="A605">
        <f t="shared" si="67"/>
        <v>118.90000000000116</v>
      </c>
      <c r="B605">
        <f t="shared" si="68"/>
        <v>2.0751964806212779</v>
      </c>
      <c r="C605">
        <f t="shared" si="69"/>
        <v>-0.48328238325501993</v>
      </c>
      <c r="D605">
        <f t="shared" si="71"/>
        <v>0.87546452700000821</v>
      </c>
      <c r="E605">
        <f t="shared" si="72"/>
        <v>0.84432792550200431</v>
      </c>
      <c r="F605">
        <f t="shared" si="70"/>
        <v>8.0959455071359959E+19</v>
      </c>
    </row>
    <row r="606" spans="1:6" x14ac:dyDescent="0.2">
      <c r="A606">
        <f t="shared" si="67"/>
        <v>119.10000000000116</v>
      </c>
      <c r="B606">
        <f t="shared" si="68"/>
        <v>2.0786871391252668</v>
      </c>
      <c r="C606">
        <f t="shared" si="69"/>
        <v>-0.48633538042350821</v>
      </c>
      <c r="D606">
        <f t="shared" si="71"/>
        <v>0.87377222303545532</v>
      </c>
      <c r="E606">
        <f t="shared" si="72"/>
        <v>0.84245239700713659</v>
      </c>
      <c r="F606">
        <f t="shared" si="70"/>
        <v>7.3121451234350473E+19</v>
      </c>
    </row>
    <row r="607" spans="1:6" x14ac:dyDescent="0.2">
      <c r="A607">
        <f t="shared" si="67"/>
        <v>119.30000000000116</v>
      </c>
      <c r="B607">
        <f t="shared" si="68"/>
        <v>2.0821777976292553</v>
      </c>
      <c r="C607">
        <f t="shared" si="69"/>
        <v>-0.48938245174886374</v>
      </c>
      <c r="D607">
        <f t="shared" si="71"/>
        <v>0.87206927243211074</v>
      </c>
      <c r="E607">
        <f t="shared" si="72"/>
        <v>0.84056660349567336</v>
      </c>
      <c r="F607">
        <f t="shared" si="70"/>
        <v>6.600547959555122E+19</v>
      </c>
    </row>
    <row r="608" spans="1:6" x14ac:dyDescent="0.2">
      <c r="A608">
        <f t="shared" si="67"/>
        <v>119.50000000000117</v>
      </c>
      <c r="B608">
        <f t="shared" si="68"/>
        <v>2.0856684561332441</v>
      </c>
      <c r="C608">
        <f t="shared" si="69"/>
        <v>-0.49242356010348481</v>
      </c>
      <c r="D608">
        <f t="shared" si="71"/>
        <v>0.87035569593988971</v>
      </c>
      <c r="E608">
        <f t="shared" si="72"/>
        <v>0.83867056794541295</v>
      </c>
      <c r="F608">
        <f t="shared" si="70"/>
        <v>5.9548891899260789E+19</v>
      </c>
    </row>
    <row r="609" spans="1:6" x14ac:dyDescent="0.2">
      <c r="A609">
        <f t="shared" si="67"/>
        <v>119.70000000000117</v>
      </c>
      <c r="B609">
        <f t="shared" si="68"/>
        <v>2.0891591146372326</v>
      </c>
      <c r="C609">
        <f t="shared" si="69"/>
        <v>-0.49545866843242498</v>
      </c>
      <c r="D609">
        <f t="shared" si="71"/>
        <v>0.86863151443818132</v>
      </c>
      <c r="E609">
        <f t="shared" si="72"/>
        <v>0.83676431345895064</v>
      </c>
      <c r="F609">
        <f t="shared" si="70"/>
        <v>5.3694082689562305E+19</v>
      </c>
    </row>
    <row r="610" spans="1:6" x14ac:dyDescent="0.2">
      <c r="A610">
        <f t="shared" si="67"/>
        <v>119.90000000000117</v>
      </c>
      <c r="B610">
        <f t="shared" si="68"/>
        <v>2.0926497731412215</v>
      </c>
      <c r="C610">
        <f t="shared" si="69"/>
        <v>-0.49848773975384797</v>
      </c>
      <c r="D610">
        <f t="shared" si="71"/>
        <v>0.86689674893559265</v>
      </c>
      <c r="E610">
        <f t="shared" si="72"/>
        <v>0.83484786326339533</v>
      </c>
      <c r="F610">
        <f t="shared" si="70"/>
        <v>4.8388122028296864E+19</v>
      </c>
    </row>
    <row r="611" spans="1:6" x14ac:dyDescent="0.2">
      <c r="A611">
        <f t="shared" si="67"/>
        <v>120.10000000000117</v>
      </c>
      <c r="B611">
        <f t="shared" si="68"/>
        <v>2.0961404316452104</v>
      </c>
      <c r="C611">
        <f t="shared" si="69"/>
        <v>-0.50151073715947514</v>
      </c>
      <c r="D611">
        <f t="shared" si="71"/>
        <v>0.86515142056969419</v>
      </c>
      <c r="E611">
        <f t="shared" si="72"/>
        <v>0.83292124071008811</v>
      </c>
      <c r="F611">
        <f t="shared" si="70"/>
        <v>4.3582411285915443E+19</v>
      </c>
    </row>
    <row r="612" spans="1:6" x14ac:dyDescent="0.2">
      <c r="A612">
        <f t="shared" si="67"/>
        <v>120.30000000000118</v>
      </c>
      <c r="B612">
        <f t="shared" si="68"/>
        <v>2.0996310901491988</v>
      </c>
      <c r="C612">
        <f t="shared" si="69"/>
        <v>-0.5045276238150368</v>
      </c>
      <c r="D612">
        <f t="shared" si="71"/>
        <v>0.86339555060676143</v>
      </c>
      <c r="E612">
        <f t="shared" si="72"/>
        <v>0.83098446927431691</v>
      </c>
      <c r="F612">
        <f t="shared" si="70"/>
        <v>3.9232360897899209E+19</v>
      </c>
    </row>
    <row r="613" spans="1:6" x14ac:dyDescent="0.2">
      <c r="A613">
        <f t="shared" si="67"/>
        <v>120.50000000000118</v>
      </c>
      <c r="B613">
        <f t="shared" si="68"/>
        <v>2.1031217486531877</v>
      </c>
      <c r="C613">
        <f t="shared" si="69"/>
        <v>-0.50753836296072186</v>
      </c>
      <c r="D613">
        <f t="shared" si="71"/>
        <v>0.86162916044151527</v>
      </c>
      <c r="E613">
        <f t="shared" si="72"/>
        <v>0.82903757255503008</v>
      </c>
      <c r="F613">
        <f t="shared" si="70"/>
        <v>3.5297089000395596E+19</v>
      </c>
    </row>
    <row r="614" spans="1:6" x14ac:dyDescent="0.2">
      <c r="A614">
        <f t="shared" si="67"/>
        <v>120.70000000000118</v>
      </c>
      <c r="B614">
        <f t="shared" si="68"/>
        <v>2.1066124071571761</v>
      </c>
      <c r="C614">
        <f t="shared" si="69"/>
        <v>-0.51054291791162321</v>
      </c>
      <c r="D614">
        <f t="shared" si="71"/>
        <v>0.85985227159686306</v>
      </c>
      <c r="E614">
        <f t="shared" si="72"/>
        <v>0.82708057427455028</v>
      </c>
      <c r="F614">
        <f t="shared" si="70"/>
        <v>3.1739139882705949E+19</v>
      </c>
    </row>
    <row r="615" spans="1:6" x14ac:dyDescent="0.2">
      <c r="A615">
        <f t="shared" si="67"/>
        <v>120.90000000000119</v>
      </c>
      <c r="B615">
        <f t="shared" si="68"/>
        <v>2.110103065661165</v>
      </c>
      <c r="C615">
        <f t="shared" si="69"/>
        <v>-0.51354125205818779</v>
      </c>
      <c r="D615">
        <f t="shared" si="71"/>
        <v>0.85806490572363403</v>
      </c>
      <c r="E615">
        <f t="shared" si="72"/>
        <v>0.82511349827828351</v>
      </c>
      <c r="F615">
        <f t="shared" si="70"/>
        <v>2.8524221220917518E+19</v>
      </c>
    </row>
    <row r="616" spans="1:6" x14ac:dyDescent="0.2">
      <c r="A616">
        <f t="shared" si="67"/>
        <v>121.10000000000119</v>
      </c>
      <c r="B616">
        <f t="shared" si="68"/>
        <v>2.1135937241651539</v>
      </c>
      <c r="C616">
        <f t="shared" si="69"/>
        <v>-0.5165333288666597</v>
      </c>
      <c r="D616">
        <f t="shared" si="71"/>
        <v>0.85626708460031742</v>
      </c>
      <c r="E616">
        <f t="shared" si="72"/>
        <v>0.82313636853443006</v>
      </c>
      <c r="F616">
        <f t="shared" si="70"/>
        <v>2.5620959085865894E+19</v>
      </c>
    </row>
    <row r="617" spans="1:6" x14ac:dyDescent="0.2">
      <c r="A617">
        <f t="shared" si="67"/>
        <v>121.30000000000119</v>
      </c>
      <c r="B617">
        <f t="shared" si="68"/>
        <v>2.1170843826691423</v>
      </c>
      <c r="C617">
        <f t="shared" si="69"/>
        <v>-0.51951911187952693</v>
      </c>
      <c r="D617">
        <f t="shared" si="71"/>
        <v>0.85445883013279678</v>
      </c>
      <c r="E617">
        <f t="shared" si="72"/>
        <v>0.82114920913369227</v>
      </c>
      <c r="F617">
        <f t="shared" si="70"/>
        <v>2.3000669749290562E+19</v>
      </c>
    </row>
    <row r="618" spans="1:6" x14ac:dyDescent="0.2">
      <c r="A618">
        <f t="shared" si="67"/>
        <v>121.50000000000119</v>
      </c>
      <c r="B618">
        <f t="shared" si="68"/>
        <v>2.1205750411731312</v>
      </c>
      <c r="C618">
        <f t="shared" si="69"/>
        <v>-0.52249856471596656</v>
      </c>
      <c r="D618">
        <f t="shared" si="71"/>
        <v>0.8526401643540813</v>
      </c>
      <c r="E618">
        <f t="shared" si="72"/>
        <v>0.81915204428897981</v>
      </c>
      <c r="F618">
        <f t="shared" si="70"/>
        <v>2.0637147344220103E+19</v>
      </c>
    </row>
    <row r="619" spans="1:6" x14ac:dyDescent="0.2">
      <c r="A619">
        <f t="shared" si="67"/>
        <v>121.7000000000012</v>
      </c>
      <c r="B619">
        <f t="shared" si="68"/>
        <v>2.1240656996771197</v>
      </c>
      <c r="C619">
        <f t="shared" si="69"/>
        <v>-0.52547165107228533</v>
      </c>
      <c r="D619">
        <f t="shared" si="71"/>
        <v>0.85081110942404048</v>
      </c>
      <c r="E619">
        <f t="shared" si="72"/>
        <v>0.81714489833511661</v>
      </c>
      <c r="F619">
        <f t="shared" si="70"/>
        <v>1.8506466468940911E+19</v>
      </c>
    </row>
    <row r="620" spans="1:6" x14ac:dyDescent="0.2">
      <c r="A620">
        <f t="shared" si="67"/>
        <v>121.9000000000012</v>
      </c>
      <c r="B620">
        <f t="shared" si="68"/>
        <v>2.1275563581811086</v>
      </c>
      <c r="C620">
        <f t="shared" si="69"/>
        <v>-0.52843833472236479</v>
      </c>
      <c r="D620">
        <f t="shared" si="71"/>
        <v>0.84897168762913044</v>
      </c>
      <c r="E620">
        <f t="shared" si="72"/>
        <v>0.81512779572854199</v>
      </c>
      <c r="F620">
        <f t="shared" si="70"/>
        <v>1.6586798857999055E+19</v>
      </c>
    </row>
    <row r="621" spans="1:6" x14ac:dyDescent="0.2">
      <c r="A621">
        <f t="shared" si="67"/>
        <v>122.1000000000012</v>
      </c>
      <c r="B621">
        <f t="shared" si="68"/>
        <v>2.1310470166850974</v>
      </c>
      <c r="C621">
        <f t="shared" si="69"/>
        <v>-0.53139857951810066</v>
      </c>
      <c r="D621">
        <f t="shared" si="71"/>
        <v>0.84712192138212594</v>
      </c>
      <c r="E621">
        <f t="shared" si="72"/>
        <v>0.81310076104701534</v>
      </c>
      <c r="F621">
        <f t="shared" si="70"/>
        <v>1.4858243278416564E+19</v>
      </c>
    </row>
    <row r="622" spans="1:6" x14ac:dyDescent="0.2">
      <c r="A622">
        <f t="shared" si="67"/>
        <v>122.30000000000121</v>
      </c>
      <c r="B622">
        <f t="shared" si="68"/>
        <v>2.1345376751890859</v>
      </c>
      <c r="C622">
        <f t="shared" si="69"/>
        <v>-0.53435234938984399</v>
      </c>
      <c r="D622">
        <f t="shared" si="71"/>
        <v>0.845261833221845</v>
      </c>
      <c r="E622">
        <f t="shared" si="72"/>
        <v>0.81106381898931446</v>
      </c>
      <c r="F622">
        <f t="shared" si="70"/>
        <v>1.3302667844260225E+19</v>
      </c>
    </row>
    <row r="623" spans="1:6" x14ac:dyDescent="0.2">
      <c r="A623">
        <f t="shared" si="67"/>
        <v>122.50000000000121</v>
      </c>
      <c r="B623">
        <f t="shared" si="68"/>
        <v>2.1380283336930748</v>
      </c>
      <c r="C623">
        <f t="shared" si="69"/>
        <v>-0.53729960834684154</v>
      </c>
      <c r="D623">
        <f t="shared" si="71"/>
        <v>0.8433914458128744</v>
      </c>
      <c r="E623">
        <f t="shared" si="72"/>
        <v>0.80901699437493502</v>
      </c>
      <c r="F623">
        <f t="shared" si="70"/>
        <v>1.190356397781361E+19</v>
      </c>
    </row>
    <row r="624" spans="1:6" x14ac:dyDescent="0.2">
      <c r="A624">
        <f t="shared" si="67"/>
        <v>122.70000000000121</v>
      </c>
      <c r="B624">
        <f t="shared" si="68"/>
        <v>2.1415189921970632</v>
      </c>
      <c r="C624">
        <f t="shared" si="69"/>
        <v>-0.54024032047767256</v>
      </c>
      <c r="D624">
        <f t="shared" si="71"/>
        <v>0.84151078194529494</v>
      </c>
      <c r="E624">
        <f t="shared" si="72"/>
        <v>0.80696031214378972</v>
      </c>
      <c r="F624">
        <f t="shared" si="70"/>
        <v>1.0645911280555575E+19</v>
      </c>
    </row>
    <row r="625" spans="1:6" x14ac:dyDescent="0.2">
      <c r="A625">
        <f t="shared" si="67"/>
        <v>122.90000000000121</v>
      </c>
      <c r="B625">
        <f t="shared" si="68"/>
        <v>2.1450096507010521</v>
      </c>
      <c r="C625">
        <f t="shared" si="69"/>
        <v>-0.54317444995068831</v>
      </c>
      <c r="D625">
        <f t="shared" si="71"/>
        <v>0.83961986453440174</v>
      </c>
      <c r="E625">
        <f t="shared" si="72"/>
        <v>0.80489379735590161</v>
      </c>
      <c r="F625">
        <f t="shared" si="70"/>
        <v>9.5160526118227743E+18</v>
      </c>
    </row>
    <row r="626" spans="1:6" x14ac:dyDescent="0.2">
      <c r="A626">
        <f t="shared" si="67"/>
        <v>123.10000000000122</v>
      </c>
      <c r="B626">
        <f t="shared" si="68"/>
        <v>2.148500309205041</v>
      </c>
      <c r="C626">
        <f t="shared" si="69"/>
        <v>-0.54610196101444686</v>
      </c>
      <c r="D626">
        <f t="shared" si="71"/>
        <v>0.83771871662042718</v>
      </c>
      <c r="E626">
        <f t="shared" si="72"/>
        <v>0.8028174751911018</v>
      </c>
      <c r="F626">
        <f t="shared" si="70"/>
        <v>8.5015787072798659E+18</v>
      </c>
    </row>
    <row r="627" spans="1:6" x14ac:dyDescent="0.2">
      <c r="A627">
        <f t="shared" si="67"/>
        <v>123.30000000000122</v>
      </c>
      <c r="B627">
        <f t="shared" si="68"/>
        <v>2.1519909677090294</v>
      </c>
      <c r="C627">
        <f t="shared" si="69"/>
        <v>-0.54902281799814934</v>
      </c>
      <c r="D627">
        <f t="shared" si="71"/>
        <v>0.83580736136825873</v>
      </c>
      <c r="E627">
        <f t="shared" si="72"/>
        <v>0.80073137094872082</v>
      </c>
      <c r="F627">
        <f t="shared" si="70"/>
        <v>7.5912217029476444E+18</v>
      </c>
    </row>
    <row r="628" spans="1:6" x14ac:dyDescent="0.2">
      <c r="A628">
        <f t="shared" si="67"/>
        <v>123.50000000000122</v>
      </c>
      <c r="B628">
        <f t="shared" si="68"/>
        <v>2.1554816262130183</v>
      </c>
      <c r="C628">
        <f t="shared" si="69"/>
        <v>-0.55193698531207591</v>
      </c>
      <c r="D628">
        <f t="shared" si="71"/>
        <v>0.83388582206715645</v>
      </c>
      <c r="E628">
        <f t="shared" si="72"/>
        <v>0.79863551004727995</v>
      </c>
      <c r="F628">
        <f t="shared" si="70"/>
        <v>6.7747569635087585E+18</v>
      </c>
    </row>
    <row r="629" spans="1:6" x14ac:dyDescent="0.2">
      <c r="A629">
        <f t="shared" si="67"/>
        <v>123.70000000000122</v>
      </c>
      <c r="B629">
        <f t="shared" si="68"/>
        <v>2.1589722847170068</v>
      </c>
      <c r="C629">
        <f t="shared" si="69"/>
        <v>-0.55484442744801676</v>
      </c>
      <c r="D629">
        <f t="shared" si="71"/>
        <v>0.83195412213047082</v>
      </c>
      <c r="E629">
        <f t="shared" si="72"/>
        <v>0.79652991802418349</v>
      </c>
      <c r="F629">
        <f t="shared" si="70"/>
        <v>6.0429126457509489E+18</v>
      </c>
    </row>
    <row r="630" spans="1:6" x14ac:dyDescent="0.2">
      <c r="A630">
        <f t="shared" si="67"/>
        <v>123.90000000000123</v>
      </c>
      <c r="B630">
        <f t="shared" si="68"/>
        <v>2.1624629432209956</v>
      </c>
      <c r="C630">
        <f t="shared" si="69"/>
        <v>-0.55774510897970786</v>
      </c>
      <c r="D630">
        <f t="shared" si="71"/>
        <v>0.83001228509535563</v>
      </c>
      <c r="E630">
        <f t="shared" si="72"/>
        <v>0.79441462053540512</v>
      </c>
      <c r="F630">
        <f t="shared" si="70"/>
        <v>5.3872864592791665E+18</v>
      </c>
    </row>
    <row r="631" spans="1:6" x14ac:dyDescent="0.2">
      <c r="A631">
        <f t="shared" si="67"/>
        <v>124.10000000000123</v>
      </c>
      <c r="B631">
        <f t="shared" si="68"/>
        <v>2.1659536017249841</v>
      </c>
      <c r="C631">
        <f t="shared" si="69"/>
        <v>-0.56063899456325916</v>
      </c>
      <c r="D631">
        <f t="shared" si="71"/>
        <v>0.82806033462248263</v>
      </c>
      <c r="E631">
        <f t="shared" si="72"/>
        <v>0.79228964335517782</v>
      </c>
      <c r="F631">
        <f t="shared" si="70"/>
        <v>4.8002691169511096E+18</v>
      </c>
    </row>
    <row r="632" spans="1:6" x14ac:dyDescent="0.2">
      <c r="A632">
        <f t="shared" si="67"/>
        <v>124.30000000000123</v>
      </c>
      <c r="B632">
        <f t="shared" si="68"/>
        <v>2.169444260228973</v>
      </c>
      <c r="C632">
        <f t="shared" si="69"/>
        <v>-0.56352604893758906</v>
      </c>
      <c r="D632">
        <f t="shared" si="71"/>
        <v>0.82609829449575189</v>
      </c>
      <c r="E632">
        <f t="shared" si="72"/>
        <v>0.7901550123756772</v>
      </c>
      <c r="F632">
        <f t="shared" si="70"/>
        <v>4.2749739967982285E+18</v>
      </c>
    </row>
    <row r="633" spans="1:6" x14ac:dyDescent="0.2">
      <c r="A633">
        <f t="shared" si="67"/>
        <v>124.50000000000124</v>
      </c>
      <c r="B633">
        <f t="shared" si="68"/>
        <v>2.1729349187329619</v>
      </c>
      <c r="C633">
        <f t="shared" si="69"/>
        <v>-0.56640623692485059</v>
      </c>
      <c r="D633">
        <f t="shared" si="71"/>
        <v>0.82412618862200349</v>
      </c>
      <c r="E633">
        <f t="shared" si="72"/>
        <v>0.78801075360670869</v>
      </c>
      <c r="F633">
        <f t="shared" si="70"/>
        <v>3.8051725654653409E+18</v>
      </c>
    </row>
    <row r="634" spans="1:6" x14ac:dyDescent="0.2">
      <c r="A634">
        <f t="shared" si="67"/>
        <v>124.70000000000124</v>
      </c>
      <c r="B634">
        <f t="shared" si="68"/>
        <v>2.1764255772369503</v>
      </c>
      <c r="C634">
        <f t="shared" si="69"/>
        <v>-0.56927952343086174</v>
      </c>
      <c r="D634">
        <f t="shared" si="71"/>
        <v>0.82214404103072536</v>
      </c>
      <c r="E634">
        <f t="shared" si="72"/>
        <v>0.78585689317538865</v>
      </c>
      <c r="F634">
        <f t="shared" si="70"/>
        <v>3.3852351403790735E+18</v>
      </c>
    </row>
    <row r="635" spans="1:6" x14ac:dyDescent="0.2">
      <c r="A635">
        <f t="shared" si="67"/>
        <v>124.90000000000124</v>
      </c>
      <c r="B635">
        <f t="shared" si="68"/>
        <v>2.1799162357409392</v>
      </c>
      <c r="C635">
        <f t="shared" si="69"/>
        <v>-0.57214587344553391</v>
      </c>
      <c r="D635">
        <f t="shared" si="71"/>
        <v>0.82015187587375982</v>
      </c>
      <c r="E635">
        <f t="shared" si="72"/>
        <v>0.7836934573258264</v>
      </c>
      <c r="F635">
        <f t="shared" si="70"/>
        <v>3.0100765939435044E+18</v>
      </c>
    </row>
    <row r="636" spans="1:6" x14ac:dyDescent="0.2">
      <c r="A636">
        <f t="shared" si="67"/>
        <v>125.10000000000124</v>
      </c>
      <c r="B636">
        <f t="shared" si="68"/>
        <v>2.1834068942449276</v>
      </c>
      <c r="C636">
        <f t="shared" si="69"/>
        <v>-0.575005252043296</v>
      </c>
      <c r="D636">
        <f t="shared" si="71"/>
        <v>0.81814971742501119</v>
      </c>
      <c r="E636">
        <f t="shared" si="72"/>
        <v>0.7815204724188054</v>
      </c>
      <c r="F636">
        <f t="shared" si="70"/>
        <v>2.6751066280244152E+18</v>
      </c>
    </row>
    <row r="637" spans="1:6" x14ac:dyDescent="0.2">
      <c r="A637">
        <f t="shared" si="67"/>
        <v>125.30000000000125</v>
      </c>
      <c r="B637">
        <f t="shared" si="68"/>
        <v>2.1868975527489165</v>
      </c>
      <c r="C637">
        <f t="shared" si="69"/>
        <v>-0.57785762438352295</v>
      </c>
      <c r="D637">
        <f t="shared" si="71"/>
        <v>0.81613759008014775</v>
      </c>
      <c r="E637">
        <f t="shared" si="72"/>
        <v>0.77933796493146057</v>
      </c>
      <c r="F637">
        <f t="shared" si="70"/>
        <v>2.3761842708329165E+18</v>
      </c>
    </row>
    <row r="638" spans="1:6" x14ac:dyDescent="0.2">
      <c r="A638">
        <f t="shared" si="67"/>
        <v>125.50000000000125</v>
      </c>
      <c r="B638">
        <f t="shared" si="68"/>
        <v>2.1903882112529054</v>
      </c>
      <c r="C638">
        <f t="shared" si="69"/>
        <v>-0.58070295571095754</v>
      </c>
      <c r="D638">
        <f t="shared" si="71"/>
        <v>0.81411551835630658</v>
      </c>
      <c r="E638">
        <f t="shared" si="72"/>
        <v>0.77714596145695714</v>
      </c>
      <c r="F638">
        <f t="shared" si="70"/>
        <v>2.1095762710511188E+18</v>
      </c>
    </row>
    <row r="639" spans="1:6" x14ac:dyDescent="0.2">
      <c r="A639">
        <f t="shared" si="67"/>
        <v>125.70000000000125</v>
      </c>
      <c r="B639">
        <f t="shared" si="68"/>
        <v>2.1938788697568938</v>
      </c>
      <c r="C639">
        <f t="shared" si="69"/>
        <v>-0.58354121135613501</v>
      </c>
      <c r="D639">
        <f t="shared" si="71"/>
        <v>0.81208352689179364</v>
      </c>
      <c r="E639">
        <f t="shared" si="72"/>
        <v>0.77494448870416599</v>
      </c>
      <c r="F639">
        <f t="shared" si="70"/>
        <v>1.8719190856655094E+18</v>
      </c>
    </row>
    <row r="640" spans="1:6" x14ac:dyDescent="0.2">
      <c r="A640">
        <f t="shared" si="67"/>
        <v>125.90000000000126</v>
      </c>
      <c r="B640">
        <f t="shared" si="68"/>
        <v>2.1973695282608827</v>
      </c>
      <c r="C640">
        <f t="shared" si="69"/>
        <v>-0.5863723567358069</v>
      </c>
      <c r="D640">
        <f t="shared" si="71"/>
        <v>0.8100416404457832</v>
      </c>
      <c r="E640">
        <f t="shared" si="72"/>
        <v>0.77273357349733707</v>
      </c>
      <c r="F640">
        <f t="shared" si="70"/>
        <v>1.6601841785055621E+18</v>
      </c>
    </row>
    <row r="641" spans="1:6" x14ac:dyDescent="0.2">
      <c r="A641">
        <f t="shared" si="67"/>
        <v>126.10000000000126</v>
      </c>
      <c r="B641">
        <f t="shared" si="68"/>
        <v>2.2008601867648712</v>
      </c>
      <c r="C641">
        <f t="shared" si="69"/>
        <v>-0.58919635735335951</v>
      </c>
      <c r="D641">
        <f t="shared" si="71"/>
        <v>0.80798988389801785</v>
      </c>
      <c r="E641">
        <f t="shared" si="72"/>
        <v>0.77051324277577538</v>
      </c>
      <c r="F641">
        <f t="shared" si="70"/>
        <v>1.4716463659432328E+18</v>
      </c>
    </row>
    <row r="642" spans="1:6" x14ac:dyDescent="0.2">
      <c r="A642">
        <f t="shared" si="67"/>
        <v>126.30000000000126</v>
      </c>
      <c r="B642">
        <f t="shared" si="68"/>
        <v>2.20435084526886</v>
      </c>
      <c r="C642">
        <f t="shared" si="69"/>
        <v>-0.59201317879923709</v>
      </c>
      <c r="D642">
        <f t="shared" si="71"/>
        <v>0.80592828224850288</v>
      </c>
      <c r="E642">
        <f t="shared" si="72"/>
        <v>0.76828352359350938</v>
      </c>
      <c r="F642">
        <f t="shared" si="70"/>
        <v>1.3038549646150717E+18</v>
      </c>
    </row>
    <row r="643" spans="1:6" x14ac:dyDescent="0.2">
      <c r="A643">
        <f t="shared" si="67"/>
        <v>126.50000000000126</v>
      </c>
      <c r="B643">
        <f t="shared" si="68"/>
        <v>2.2078415037728489</v>
      </c>
      <c r="C643">
        <f t="shared" si="69"/>
        <v>-0.59482278675135902</v>
      </c>
      <c r="D643">
        <f t="shared" si="71"/>
        <v>0.80385686061720418</v>
      </c>
      <c r="E643">
        <f t="shared" si="72"/>
        <v>0.7660444431189638</v>
      </c>
      <c r="F643">
        <f t="shared" si="70"/>
        <v>1.1546075134149834E+18</v>
      </c>
    </row>
    <row r="644" spans="1:6" x14ac:dyDescent="0.2">
      <c r="A644">
        <f t="shared" si="67"/>
        <v>126.70000000000127</v>
      </c>
      <c r="B644">
        <f t="shared" si="68"/>
        <v>2.2113321622768374</v>
      </c>
      <c r="C644">
        <f t="shared" si="69"/>
        <v>-0.59762514697553859</v>
      </c>
      <c r="D644">
        <f t="shared" si="71"/>
        <v>0.80177564424374093</v>
      </c>
      <c r="E644">
        <f t="shared" si="72"/>
        <v>0.76379602863462803</v>
      </c>
      <c r="F644">
        <f t="shared" si="70"/>
        <v>1.0219258583948893E+18</v>
      </c>
    </row>
    <row r="645" spans="1:6" x14ac:dyDescent="0.2">
      <c r="A645">
        <f t="shared" si="67"/>
        <v>126.90000000000127</v>
      </c>
      <c r="B645">
        <f t="shared" si="68"/>
        <v>2.2148228207808263</v>
      </c>
      <c r="C645">
        <f t="shared" si="69"/>
        <v>-0.60042022532590167</v>
      </c>
      <c r="D645">
        <f t="shared" si="71"/>
        <v>0.79968465848707726</v>
      </c>
      <c r="E645">
        <f t="shared" si="72"/>
        <v>0.76153830753672247</v>
      </c>
      <c r="F645">
        <f t="shared" si="70"/>
        <v>9.0403440464019776E+17</v>
      </c>
    </row>
    <row r="646" spans="1:6" x14ac:dyDescent="0.2">
      <c r="A646">
        <f t="shared" si="67"/>
        <v>127.10000000000127</v>
      </c>
      <c r="B646">
        <f t="shared" si="68"/>
        <v>2.2183134792848147</v>
      </c>
      <c r="C646">
        <f t="shared" si="69"/>
        <v>-0.60320798774529982</v>
      </c>
      <c r="D646">
        <f t="shared" si="71"/>
        <v>0.79758392882521534</v>
      </c>
      <c r="E646">
        <f t="shared" si="72"/>
        <v>0.75927130733486659</v>
      </c>
      <c r="F646">
        <f t="shared" si="70"/>
        <v>7.993403536890377E+17</v>
      </c>
    </row>
    <row r="647" spans="1:6" x14ac:dyDescent="0.2">
      <c r="A647">
        <f t="shared" si="67"/>
        <v>127.30000000000128</v>
      </c>
      <c r="B647">
        <f t="shared" si="68"/>
        <v>2.2218041377888036</v>
      </c>
      <c r="C647">
        <f t="shared" si="69"/>
        <v>-0.60598840026572853</v>
      </c>
      <c r="D647">
        <f t="shared" si="71"/>
        <v>0.79547348085488256</v>
      </c>
      <c r="E647">
        <f t="shared" si="72"/>
        <v>0.75699505565174197</v>
      </c>
      <c r="F647">
        <f t="shared" si="70"/>
        <v>7.0641575867191744E+17</v>
      </c>
    </row>
    <row r="648" spans="1:6" x14ac:dyDescent="0.2">
      <c r="A648">
        <f t="shared" si="67"/>
        <v>127.50000000000128</v>
      </c>
      <c r="B648">
        <f t="shared" si="68"/>
        <v>2.2252947962927925</v>
      </c>
      <c r="C648">
        <f t="shared" si="69"/>
        <v>-0.60876142900873831</v>
      </c>
      <c r="D648">
        <f t="shared" si="71"/>
        <v>0.79335334029122162</v>
      </c>
      <c r="E648">
        <f t="shared" si="72"/>
        <v>0.75470958022275736</v>
      </c>
      <c r="F648">
        <f t="shared" si="70"/>
        <v>6.2398124210181376E+17</v>
      </c>
    </row>
    <row r="649" spans="1:6" x14ac:dyDescent="0.2">
      <c r="A649">
        <f t="shared" si="67"/>
        <v>127.70000000000128</v>
      </c>
      <c r="B649">
        <f t="shared" si="68"/>
        <v>2.2287854547967809</v>
      </c>
      <c r="C649">
        <f t="shared" si="69"/>
        <v>-0.61152704018584858</v>
      </c>
      <c r="D649">
        <f t="shared" si="71"/>
        <v>0.79122353296747661</v>
      </c>
      <c r="E649">
        <f t="shared" si="72"/>
        <v>0.75241490889570983</v>
      </c>
      <c r="F649">
        <f t="shared" si="70"/>
        <v>5.5089123317713229E+17</v>
      </c>
    </row>
    <row r="650" spans="1:6" x14ac:dyDescent="0.2">
      <c r="A650">
        <f t="shared" ref="A650:A713" si="73">A649+0.2</f>
        <v>127.90000000000128</v>
      </c>
      <c r="B650">
        <f t="shared" si="68"/>
        <v>2.2322761133007698</v>
      </c>
      <c r="C650">
        <f t="shared" si="69"/>
        <v>-0.61428520009896082</v>
      </c>
      <c r="D650">
        <f t="shared" si="71"/>
        <v>0.78908408483467696</v>
      </c>
      <c r="E650">
        <f t="shared" si="72"/>
        <v>0.75011106963044483</v>
      </c>
      <c r="F650">
        <f t="shared" si="70"/>
        <v>4.8612059261047904E+17</v>
      </c>
    </row>
    <row r="651" spans="1:6" x14ac:dyDescent="0.2">
      <c r="A651">
        <f t="shared" si="73"/>
        <v>128.10000000000127</v>
      </c>
      <c r="B651">
        <f t="shared" ref="B651:B714" si="74">A651*PI()/180</f>
        <v>2.2357667718047582</v>
      </c>
      <c r="C651">
        <f t="shared" ref="C651:C714" si="75">COS(B651)</f>
        <v>-0.61703587514076608</v>
      </c>
      <c r="D651">
        <f t="shared" si="71"/>
        <v>0.7869350219613237</v>
      </c>
      <c r="E651">
        <f t="shared" si="72"/>
        <v>0.7477980904985172</v>
      </c>
      <c r="F651">
        <f t="shared" ref="F651:F714" si="76">EXP(E651*$C$5*$C$6^2/($C$3*$C$2))</f>
        <v>4.2875250340126694E+17</v>
      </c>
    </row>
    <row r="652" spans="1:6" x14ac:dyDescent="0.2">
      <c r="A652">
        <f t="shared" si="73"/>
        <v>128.30000000000126</v>
      </c>
      <c r="B652">
        <f t="shared" si="74"/>
        <v>2.2392574303087467</v>
      </c>
      <c r="C652">
        <f t="shared" si="75"/>
        <v>-0.61977903179515725</v>
      </c>
      <c r="D652">
        <f t="shared" si="71"/>
        <v>0.78477637053306937</v>
      </c>
      <c r="E652">
        <f t="shared" si="72"/>
        <v>0.74547599968284761</v>
      </c>
      <c r="F652">
        <f t="shared" si="76"/>
        <v>3.779675156666935E+17</v>
      </c>
    </row>
    <row r="653" spans="1:6" x14ac:dyDescent="0.2">
      <c r="A653">
        <f t="shared" si="73"/>
        <v>128.50000000000125</v>
      </c>
      <c r="B653">
        <f t="shared" si="74"/>
        <v>2.2427480888127351</v>
      </c>
      <c r="C653">
        <f t="shared" si="75"/>
        <v>-0.62251463663763651</v>
      </c>
      <c r="D653">
        <f t="shared" si="71"/>
        <v>0.78260815685240048</v>
      </c>
      <c r="E653">
        <f t="shared" si="72"/>
        <v>0.7431448254773797</v>
      </c>
      <c r="F653">
        <f t="shared" si="76"/>
        <v>3.3303364267052781E+17</v>
      </c>
    </row>
    <row r="654" spans="1:6" x14ac:dyDescent="0.2">
      <c r="A654">
        <f t="shared" si="73"/>
        <v>128.70000000000124</v>
      </c>
      <c r="B654">
        <f t="shared" si="74"/>
        <v>2.2462387473167236</v>
      </c>
      <c r="C654">
        <f t="shared" si="75"/>
        <v>-0.62524265633572185</v>
      </c>
      <c r="D654">
        <f t="shared" si="71"/>
        <v>0.78043040733831637</v>
      </c>
      <c r="E654">
        <f t="shared" si="72"/>
        <v>0.74080459628673556</v>
      </c>
      <c r="F654">
        <f t="shared" si="76"/>
        <v>2.9329741357780454E+17</v>
      </c>
    </row>
    <row r="655" spans="1:6" x14ac:dyDescent="0.2">
      <c r="A655">
        <f t="shared" si="73"/>
        <v>128.90000000000123</v>
      </c>
      <c r="B655">
        <f t="shared" si="74"/>
        <v>2.249729405820712</v>
      </c>
      <c r="C655">
        <f t="shared" si="75"/>
        <v>-0.62796305764935445</v>
      </c>
      <c r="D655">
        <f t="shared" si="71"/>
        <v>0.77824314852600762</v>
      </c>
      <c r="E655">
        <f t="shared" si="72"/>
        <v>0.73845534062586937</v>
      </c>
      <c r="F655">
        <f t="shared" si="76"/>
        <v>2.5817579625149978E+17</v>
      </c>
    </row>
    <row r="656" spans="1:6" x14ac:dyDescent="0.2">
      <c r="A656">
        <f t="shared" si="73"/>
        <v>129.10000000000122</v>
      </c>
      <c r="B656">
        <f t="shared" si="74"/>
        <v>2.2532200643247009</v>
      </c>
      <c r="C656">
        <f t="shared" si="75"/>
        <v>-0.63067580743130291</v>
      </c>
      <c r="D656">
        <f t="shared" si="71"/>
        <v>0.7760464070665325</v>
      </c>
      <c r="E656">
        <f t="shared" si="72"/>
        <v>0.73609708711971988</v>
      </c>
      <c r="F656">
        <f t="shared" si="76"/>
        <v>2.2714891062845606E+17</v>
      </c>
    </row>
    <row r="657" spans="1:6" x14ac:dyDescent="0.2">
      <c r="A657">
        <f t="shared" si="73"/>
        <v>129.30000000000121</v>
      </c>
      <c r="B657">
        <f t="shared" si="74"/>
        <v>2.2567107228286889</v>
      </c>
      <c r="C657">
        <f t="shared" si="75"/>
        <v>-0.63338087262756626</v>
      </c>
      <c r="D657">
        <f t="shared" si="71"/>
        <v>0.77384020972649303</v>
      </c>
      <c r="E657">
        <f t="shared" si="72"/>
        <v>0.73372986450286226</v>
      </c>
      <c r="F657">
        <f t="shared" si="76"/>
        <v>1.9975345989981584E+17</v>
      </c>
    </row>
    <row r="658" spans="1:6" x14ac:dyDescent="0.2">
      <c r="A658">
        <f t="shared" si="73"/>
        <v>129.50000000000119</v>
      </c>
      <c r="B658">
        <f t="shared" si="74"/>
        <v>2.2602013813326773</v>
      </c>
      <c r="C658">
        <f t="shared" si="75"/>
        <v>-0.63607822027777983</v>
      </c>
      <c r="D658">
        <f t="shared" si="71"/>
        <v>0.7716245833877069</v>
      </c>
      <c r="E658">
        <f t="shared" si="72"/>
        <v>0.73135370161915647</v>
      </c>
      <c r="F658">
        <f t="shared" si="76"/>
        <v>1.7557681290778918E+17</v>
      </c>
    </row>
    <row r="659" spans="1:6" x14ac:dyDescent="0.2">
      <c r="A659">
        <f t="shared" si="73"/>
        <v>129.70000000000118</v>
      </c>
      <c r="B659">
        <f t="shared" si="74"/>
        <v>2.2636920398366658</v>
      </c>
      <c r="C659">
        <f t="shared" si="75"/>
        <v>-0.6387678175156134</v>
      </c>
      <c r="D659">
        <f t="shared" si="71"/>
        <v>0.76939955504688207</v>
      </c>
      <c r="E659">
        <f t="shared" si="72"/>
        <v>0.72896862742139756</v>
      </c>
      <c r="F659">
        <f t="shared" si="76"/>
        <v>1.5425167688714426E+17</v>
      </c>
    </row>
    <row r="660" spans="1:6" x14ac:dyDescent="0.2">
      <c r="A660">
        <f t="shared" si="73"/>
        <v>129.90000000000117</v>
      </c>
      <c r="B660">
        <f t="shared" si="74"/>
        <v>2.2671826983406547</v>
      </c>
      <c r="C660">
        <f t="shared" si="75"/>
        <v>-0.64144963156917367</v>
      </c>
      <c r="D660">
        <f t="shared" si="71"/>
        <v>0.76716515181528633</v>
      </c>
      <c r="E660">
        <f t="shared" si="72"/>
        <v>0.72657467097096173</v>
      </c>
      <c r="F660">
        <f t="shared" si="76"/>
        <v>1.3545130495560414E+17</v>
      </c>
    </row>
    <row r="661" spans="1:6" x14ac:dyDescent="0.2">
      <c r="A661">
        <f t="shared" si="73"/>
        <v>130.10000000000116</v>
      </c>
      <c r="B661">
        <f t="shared" si="74"/>
        <v>2.2706733568446431</v>
      </c>
      <c r="C661">
        <f t="shared" si="75"/>
        <v>-0.64412362976140203</v>
      </c>
      <c r="D661">
        <f t="shared" ref="D661:D724" si="77">SIN(B661)</f>
        <v>0.76492140091841865</v>
      </c>
      <c r="E661">
        <f t="shared" ref="E661:E724" si="78">C661*$E$7+D661*$F$7</f>
        <v>0.72417186143745338</v>
      </c>
      <c r="F661">
        <f t="shared" si="76"/>
        <v>1.1888518762152837E+17</v>
      </c>
    </row>
    <row r="662" spans="1:6" x14ac:dyDescent="0.2">
      <c r="A662">
        <f t="shared" si="73"/>
        <v>130.30000000000115</v>
      </c>
      <c r="B662">
        <f t="shared" si="74"/>
        <v>2.2741640153486311</v>
      </c>
      <c r="C662">
        <f t="shared" si="75"/>
        <v>-0.64678977951047456</v>
      </c>
      <c r="D662">
        <f t="shared" si="77"/>
        <v>0.76266832969567555</v>
      </c>
      <c r="E662">
        <f t="shared" si="78"/>
        <v>0.7217602280983485</v>
      </c>
      <c r="F662">
        <f t="shared" si="76"/>
        <v>1.0429518205661742E+17</v>
      </c>
    </row>
    <row r="663" spans="1:6" x14ac:dyDescent="0.2">
      <c r="A663">
        <f t="shared" si="73"/>
        <v>130.50000000000114</v>
      </c>
      <c r="B663">
        <f t="shared" si="74"/>
        <v>2.2776546738526195</v>
      </c>
      <c r="C663">
        <f t="shared" si="75"/>
        <v>-0.64944804833019842</v>
      </c>
      <c r="D663">
        <f t="shared" si="77"/>
        <v>0.76040596560001827</v>
      </c>
      <c r="E663">
        <f t="shared" si="78"/>
        <v>0.71933980033863754</v>
      </c>
      <c r="F663">
        <f t="shared" si="76"/>
        <v>9.1452037002089936E+16</v>
      </c>
    </row>
    <row r="664" spans="1:6" x14ac:dyDescent="0.2">
      <c r="A664">
        <f t="shared" si="73"/>
        <v>130.70000000000113</v>
      </c>
      <c r="B664">
        <f t="shared" si="74"/>
        <v>2.2811453323566084</v>
      </c>
      <c r="C664">
        <f t="shared" si="75"/>
        <v>-0.65209840383040707</v>
      </c>
      <c r="D664">
        <f t="shared" si="77"/>
        <v>0.75813433619763937</v>
      </c>
      <c r="E664">
        <f t="shared" si="78"/>
        <v>0.71691060765046899</v>
      </c>
      <c r="F664">
        <f t="shared" si="76"/>
        <v>8.0152274963724864E+16</v>
      </c>
    </row>
    <row r="665" spans="1:6" x14ac:dyDescent="0.2">
      <c r="A665">
        <f t="shared" si="73"/>
        <v>130.90000000000111</v>
      </c>
      <c r="B665">
        <f t="shared" si="74"/>
        <v>2.2846359908605969</v>
      </c>
      <c r="C665">
        <f t="shared" si="75"/>
        <v>-0.65474081371735449</v>
      </c>
      <c r="D665">
        <f t="shared" si="77"/>
        <v>0.75585346916762675</v>
      </c>
      <c r="E665">
        <f t="shared" si="78"/>
        <v>0.71447267963278971</v>
      </c>
      <c r="F665">
        <f t="shared" si="76"/>
        <v>7.0215396827342632E+16</v>
      </c>
    </row>
    <row r="666" spans="1:6" x14ac:dyDescent="0.2">
      <c r="A666">
        <f t="shared" si="73"/>
        <v>131.1000000000011</v>
      </c>
      <c r="B666">
        <f t="shared" si="74"/>
        <v>2.2881266493645853</v>
      </c>
      <c r="C666">
        <f t="shared" si="75"/>
        <v>-0.65737524579411022</v>
      </c>
      <c r="D666">
        <f t="shared" si="77"/>
        <v>0.75356339230162528</v>
      </c>
      <c r="E666">
        <f t="shared" si="78"/>
        <v>0.71202604599098296</v>
      </c>
      <c r="F666">
        <f t="shared" si="76"/>
        <v>6.1481377214464512E+16</v>
      </c>
    </row>
    <row r="667" spans="1:6" x14ac:dyDescent="0.2">
      <c r="A667">
        <f t="shared" si="73"/>
        <v>131.30000000000109</v>
      </c>
      <c r="B667">
        <f t="shared" si="74"/>
        <v>2.2916173078685738</v>
      </c>
      <c r="C667">
        <f t="shared" si="75"/>
        <v>-0.66000166796095106</v>
      </c>
      <c r="D667">
        <f t="shared" si="77"/>
        <v>0.75126413350349863</v>
      </c>
      <c r="E667">
        <f t="shared" si="78"/>
        <v>0.70957073653650748</v>
      </c>
      <c r="F667">
        <f t="shared" si="76"/>
        <v>5.380842181854156E+16</v>
      </c>
    </row>
    <row r="668" spans="1:6" x14ac:dyDescent="0.2">
      <c r="A668">
        <f t="shared" si="73"/>
        <v>131.50000000000108</v>
      </c>
      <c r="B668">
        <f t="shared" si="74"/>
        <v>2.2951079663725622</v>
      </c>
      <c r="C668">
        <f t="shared" si="75"/>
        <v>-0.6626200482157516</v>
      </c>
      <c r="D668">
        <f t="shared" si="77"/>
        <v>0.74895572078898964</v>
      </c>
      <c r="E668">
        <f t="shared" si="78"/>
        <v>0.70710678118653414</v>
      </c>
      <c r="F668">
        <f t="shared" si="76"/>
        <v>4.7070960635248528E+16</v>
      </c>
    </row>
    <row r="669" spans="1:6" x14ac:dyDescent="0.2">
      <c r="A669">
        <f t="shared" si="73"/>
        <v>131.70000000000107</v>
      </c>
      <c r="B669">
        <f t="shared" si="74"/>
        <v>2.2985986248765506</v>
      </c>
      <c r="C669">
        <f t="shared" si="75"/>
        <v>-0.66523035465437474</v>
      </c>
      <c r="D669">
        <f t="shared" si="77"/>
        <v>0.74663818228537904</v>
      </c>
      <c r="E669">
        <f t="shared" si="78"/>
        <v>0.7046342099635815</v>
      </c>
      <c r="F669">
        <f t="shared" si="76"/>
        <v>4.1157853444513424E+16</v>
      </c>
    </row>
    <row r="670" spans="1:6" x14ac:dyDescent="0.2">
      <c r="A670">
        <f t="shared" si="73"/>
        <v>131.90000000000106</v>
      </c>
      <c r="B670">
        <f t="shared" si="74"/>
        <v>2.3020892833805391</v>
      </c>
      <c r="C670">
        <f t="shared" si="75"/>
        <v>-0.66783255547106035</v>
      </c>
      <c r="D670">
        <f t="shared" si="77"/>
        <v>0.74431154623114182</v>
      </c>
      <c r="E670">
        <f t="shared" si="78"/>
        <v>0.7021530529951493</v>
      </c>
      <c r="F670">
        <f t="shared" si="76"/>
        <v>3.5970786134507104E+16</v>
      </c>
    </row>
    <row r="671" spans="1:6" x14ac:dyDescent="0.2">
      <c r="A671">
        <f t="shared" si="73"/>
        <v>132.10000000000105</v>
      </c>
      <c r="B671">
        <f t="shared" si="74"/>
        <v>2.3055799418845275</v>
      </c>
      <c r="C671">
        <f t="shared" si="75"/>
        <v>-0.67042661895881261</v>
      </c>
      <c r="D671">
        <f t="shared" si="77"/>
        <v>0.74197584097560421</v>
      </c>
      <c r="E671">
        <f t="shared" si="78"/>
        <v>0.69966334051335233</v>
      </c>
      <c r="F671">
        <f t="shared" si="76"/>
        <v>3.142283849527156E+16</v>
      </c>
    </row>
    <row r="672" spans="1:6" x14ac:dyDescent="0.2">
      <c r="A672">
        <f t="shared" si="73"/>
        <v>132.30000000000103</v>
      </c>
      <c r="B672">
        <f t="shared" si="74"/>
        <v>2.309070600388516</v>
      </c>
      <c r="C672">
        <f t="shared" si="75"/>
        <v>-0.67301251350978664</v>
      </c>
      <c r="D672">
        <f t="shared" si="77"/>
        <v>0.73963109497859769</v>
      </c>
      <c r="E672">
        <f t="shared" si="78"/>
        <v>0.6971651028545518</v>
      </c>
      <c r="F672">
        <f t="shared" si="76"/>
        <v>2.7437205967201592E+16</v>
      </c>
    </row>
    <row r="673" spans="1:6" x14ac:dyDescent="0.2">
      <c r="A673">
        <f t="shared" si="73"/>
        <v>132.50000000000102</v>
      </c>
      <c r="B673">
        <f t="shared" si="74"/>
        <v>2.3125612588925044</v>
      </c>
      <c r="C673">
        <f t="shared" si="75"/>
        <v>-0.67559020761567334</v>
      </c>
      <c r="D673">
        <f t="shared" si="77"/>
        <v>0.73727733681011209</v>
      </c>
      <c r="E673">
        <f t="shared" si="78"/>
        <v>0.69465837045898449</v>
      </c>
      <c r="F673">
        <f t="shared" si="76"/>
        <v>2.3946059521592524E+16</v>
      </c>
    </row>
    <row r="674" spans="1:6" x14ac:dyDescent="0.2">
      <c r="A674">
        <f t="shared" si="73"/>
        <v>132.70000000000101</v>
      </c>
      <c r="B674">
        <f t="shared" si="74"/>
        <v>2.3160519173964929</v>
      </c>
      <c r="C674">
        <f t="shared" si="75"/>
        <v>-0.67815966986808351</v>
      </c>
      <c r="D674">
        <f t="shared" si="77"/>
        <v>0.73491459514994806</v>
      </c>
      <c r="E674">
        <f t="shared" si="78"/>
        <v>0.69214317387039415</v>
      </c>
      <c r="F674">
        <f t="shared" si="76"/>
        <v>2.0889529390258224E+16</v>
      </c>
    </row>
    <row r="675" spans="1:6" x14ac:dyDescent="0.2">
      <c r="A675">
        <f t="shared" si="73"/>
        <v>132.900000000001</v>
      </c>
      <c r="B675">
        <f t="shared" si="74"/>
        <v>2.3195425759004813</v>
      </c>
      <c r="C675">
        <f t="shared" si="75"/>
        <v>-0.68072086895893047</v>
      </c>
      <c r="D675">
        <f t="shared" si="77"/>
        <v>0.732542898787367</v>
      </c>
      <c r="E675">
        <f t="shared" si="78"/>
        <v>0.68961954373565726</v>
      </c>
      <c r="F675">
        <f t="shared" si="76"/>
        <v>1.821479976117204E+16</v>
      </c>
    </row>
    <row r="676" spans="1:6" x14ac:dyDescent="0.2">
      <c r="A676">
        <f t="shared" si="73"/>
        <v>133.10000000000099</v>
      </c>
      <c r="B676">
        <f t="shared" si="74"/>
        <v>2.3230332344044697</v>
      </c>
      <c r="C676">
        <f t="shared" si="75"/>
        <v>-0.68327377368081166</v>
      </c>
      <c r="D676">
        <f t="shared" si="77"/>
        <v>0.73016227662074062</v>
      </c>
      <c r="E676">
        <f t="shared" si="78"/>
        <v>0.68708751080441044</v>
      </c>
      <c r="F676">
        <f t="shared" si="76"/>
        <v>1.587530282883997E+16</v>
      </c>
    </row>
    <row r="677" spans="1:6" x14ac:dyDescent="0.2">
      <c r="A677">
        <f t="shared" si="73"/>
        <v>133.30000000000098</v>
      </c>
      <c r="B677">
        <f t="shared" si="74"/>
        <v>2.3265238929084586</v>
      </c>
      <c r="C677">
        <f t="shared" si="75"/>
        <v>-0.6858183529273888</v>
      </c>
      <c r="D677">
        <f t="shared" si="77"/>
        <v>0.72777275765719862</v>
      </c>
      <c r="E677">
        <f t="shared" si="78"/>
        <v>0.68454710592867596</v>
      </c>
      <c r="F677">
        <f t="shared" si="76"/>
        <v>1.3830001742302434E+16</v>
      </c>
    </row>
    <row r="678" spans="1:6" x14ac:dyDescent="0.2">
      <c r="A678">
        <f t="shared" si="73"/>
        <v>133.50000000000097</v>
      </c>
      <c r="B678">
        <f t="shared" si="74"/>
        <v>2.3300145514124466</v>
      </c>
      <c r="C678">
        <f t="shared" si="75"/>
        <v>-0.68835457569376612</v>
      </c>
      <c r="D678">
        <f t="shared" si="77"/>
        <v>0.7253743710122762</v>
      </c>
      <c r="E678">
        <f t="shared" si="78"/>
        <v>0.68199836006248626</v>
      </c>
      <c r="F678">
        <f t="shared" si="76"/>
        <v>1.204275304028726E+16</v>
      </c>
    </row>
    <row r="679" spans="1:6" x14ac:dyDescent="0.2">
      <c r="A679">
        <f t="shared" si="73"/>
        <v>133.70000000000095</v>
      </c>
      <c r="B679">
        <f t="shared" si="74"/>
        <v>2.3335052099164351</v>
      </c>
      <c r="C679">
        <f t="shared" si="75"/>
        <v>-0.69088241107687021</v>
      </c>
      <c r="D679">
        <f t="shared" si="77"/>
        <v>0.7229671459095568</v>
      </c>
      <c r="E679">
        <f t="shared" si="78"/>
        <v>0.6794413042615044</v>
      </c>
      <c r="F679">
        <f t="shared" si="76"/>
        <v>1.048174011128598E+16</v>
      </c>
    </row>
    <row r="680" spans="1:6" x14ac:dyDescent="0.2">
      <c r="A680">
        <f t="shared" si="73"/>
        <v>133.90000000000094</v>
      </c>
      <c r="B680">
        <f t="shared" si="74"/>
        <v>2.3369958684204235</v>
      </c>
      <c r="C680">
        <f t="shared" si="75"/>
        <v>-0.69340182827582464</v>
      </c>
      <c r="D680">
        <f t="shared" si="77"/>
        <v>0.72055111168031916</v>
      </c>
      <c r="E680">
        <f t="shared" si="78"/>
        <v>0.67687596968264874</v>
      </c>
      <c r="F680">
        <f t="shared" si="76"/>
        <v>9118970074705604</v>
      </c>
    </row>
    <row r="681" spans="1:6" x14ac:dyDescent="0.2">
      <c r="A681">
        <f t="shared" si="73"/>
        <v>134.10000000000093</v>
      </c>
      <c r="B681">
        <f t="shared" si="74"/>
        <v>2.3404865269244124</v>
      </c>
      <c r="C681">
        <f t="shared" si="75"/>
        <v>-0.69591279659232619</v>
      </c>
      <c r="D681">
        <f t="shared" si="77"/>
        <v>0.71812629776317738</v>
      </c>
      <c r="E681">
        <f t="shared" si="78"/>
        <v>0.67430238758371119</v>
      </c>
      <c r="F681">
        <f t="shared" si="76"/>
        <v>7929827255610055</v>
      </c>
    </row>
    <row r="682" spans="1:6" x14ac:dyDescent="0.2">
      <c r="A682">
        <f t="shared" si="73"/>
        <v>134.30000000000092</v>
      </c>
      <c r="B682">
        <f t="shared" si="74"/>
        <v>2.3439771854284008</v>
      </c>
      <c r="C682">
        <f t="shared" si="75"/>
        <v>-0.6984152854310175</v>
      </c>
      <c r="D682">
        <f t="shared" si="77"/>
        <v>0.71569273370372455</v>
      </c>
      <c r="E682">
        <f t="shared" si="78"/>
        <v>0.67172058932297818</v>
      </c>
      <c r="F682">
        <f t="shared" si="76"/>
        <v>6892677127179545</v>
      </c>
    </row>
    <row r="683" spans="1:6" x14ac:dyDescent="0.2">
      <c r="A683">
        <f t="shared" si="73"/>
        <v>134.50000000000091</v>
      </c>
      <c r="B683">
        <f t="shared" si="74"/>
        <v>2.3474678439323888</v>
      </c>
      <c r="C683">
        <f t="shared" si="75"/>
        <v>-0.700909264299862</v>
      </c>
      <c r="D683">
        <f t="shared" si="77"/>
        <v>0.71325044915417068</v>
      </c>
      <c r="E683">
        <f t="shared" si="78"/>
        <v>0.66913060635884658</v>
      </c>
      <c r="F683">
        <f t="shared" si="76"/>
        <v>5988515228527854</v>
      </c>
    </row>
    <row r="684" spans="1:6" x14ac:dyDescent="0.2">
      <c r="A684">
        <f t="shared" si="73"/>
        <v>134.7000000000009</v>
      </c>
      <c r="B684">
        <f t="shared" si="74"/>
        <v>2.3509585024363773</v>
      </c>
      <c r="C684">
        <f t="shared" si="75"/>
        <v>-0.70339470281051486</v>
      </c>
      <c r="D684">
        <f t="shared" si="77"/>
        <v>0.7107994738729817</v>
      </c>
      <c r="E684">
        <f t="shared" si="78"/>
        <v>0.66653247024944096</v>
      </c>
      <c r="F684">
        <f t="shared" si="76"/>
        <v>5200656137079546</v>
      </c>
    </row>
    <row r="685" spans="1:6" x14ac:dyDescent="0.2">
      <c r="A685">
        <f t="shared" si="73"/>
        <v>134.90000000000089</v>
      </c>
      <c r="B685">
        <f t="shared" si="74"/>
        <v>2.3544491609403662</v>
      </c>
      <c r="C685">
        <f t="shared" si="75"/>
        <v>-0.705871570678692</v>
      </c>
      <c r="D685">
        <f t="shared" si="77"/>
        <v>0.70833983772451792</v>
      </c>
      <c r="E685">
        <f t="shared" si="78"/>
        <v>0.66392621265222995</v>
      </c>
      <c r="F685">
        <f t="shared" si="76"/>
        <v>4514458089956748</v>
      </c>
    </row>
    <row r="686" spans="1:6" x14ac:dyDescent="0.2">
      <c r="A686">
        <f t="shared" si="73"/>
        <v>135.10000000000088</v>
      </c>
      <c r="B686">
        <f t="shared" si="74"/>
        <v>2.3579398194443546</v>
      </c>
      <c r="C686">
        <f t="shared" si="75"/>
        <v>-0.70833983772453968</v>
      </c>
      <c r="D686">
        <f t="shared" si="77"/>
        <v>0.70587157067867012</v>
      </c>
      <c r="E686">
        <f t="shared" si="78"/>
        <v>0.66131186532364039</v>
      </c>
      <c r="F686">
        <f t="shared" si="76"/>
        <v>3917079312932281.5</v>
      </c>
    </row>
    <row r="687" spans="1:6" x14ac:dyDescent="0.2">
      <c r="A687">
        <f t="shared" si="73"/>
        <v>135.30000000000086</v>
      </c>
      <c r="B687">
        <f t="shared" si="74"/>
        <v>2.361430477948343</v>
      </c>
      <c r="C687">
        <f t="shared" si="75"/>
        <v>-0.71079947387300313</v>
      </c>
      <c r="D687">
        <f t="shared" si="77"/>
        <v>0.70339470281049321</v>
      </c>
      <c r="E687">
        <f t="shared" si="78"/>
        <v>0.65868946011866913</v>
      </c>
      <c r="F687">
        <f t="shared" si="76"/>
        <v>3397262533212460</v>
      </c>
    </row>
    <row r="688" spans="1:6" x14ac:dyDescent="0.2">
      <c r="A688">
        <f t="shared" si="73"/>
        <v>135.50000000000085</v>
      </c>
      <c r="B688">
        <f t="shared" si="74"/>
        <v>2.3649211364523315</v>
      </c>
      <c r="C688">
        <f t="shared" si="75"/>
        <v>-0.713250449154192</v>
      </c>
      <c r="D688">
        <f t="shared" si="77"/>
        <v>0.70090926429984024</v>
      </c>
      <c r="E688">
        <f t="shared" si="78"/>
        <v>0.65605902899049595</v>
      </c>
      <c r="F688">
        <f t="shared" si="76"/>
        <v>2945144527966463</v>
      </c>
    </row>
    <row r="689" spans="1:6" x14ac:dyDescent="0.2">
      <c r="A689">
        <f t="shared" si="73"/>
        <v>135.70000000000084</v>
      </c>
      <c r="B689">
        <f t="shared" si="74"/>
        <v>2.3684117949563199</v>
      </c>
      <c r="C689">
        <f t="shared" si="75"/>
        <v>-0.71569273370374609</v>
      </c>
      <c r="D689">
        <f t="shared" si="77"/>
        <v>0.6984152854309954</v>
      </c>
      <c r="E689">
        <f t="shared" si="78"/>
        <v>0.65342060399009427</v>
      </c>
      <c r="F689">
        <f t="shared" si="76"/>
        <v>2552087898080528</v>
      </c>
    </row>
    <row r="690" spans="1:6" x14ac:dyDescent="0.2">
      <c r="A690">
        <f t="shared" si="73"/>
        <v>135.90000000000083</v>
      </c>
      <c r="B690">
        <f t="shared" si="74"/>
        <v>2.3719024534603084</v>
      </c>
      <c r="C690">
        <f t="shared" si="75"/>
        <v>-0.71812629776319892</v>
      </c>
      <c r="D690">
        <f t="shared" si="77"/>
        <v>0.69591279659230398</v>
      </c>
      <c r="E690">
        <f t="shared" si="78"/>
        <v>0.65077421726583995</v>
      </c>
      <c r="F690">
        <f t="shared" si="76"/>
        <v>2210532559717413.5</v>
      </c>
    </row>
    <row r="691" spans="1:6" x14ac:dyDescent="0.2">
      <c r="A691">
        <f t="shared" si="73"/>
        <v>136.10000000000082</v>
      </c>
      <c r="B691">
        <f t="shared" si="74"/>
        <v>2.3753931119642968</v>
      </c>
      <c r="C691">
        <f t="shared" si="75"/>
        <v>-0.72055111168034025</v>
      </c>
      <c r="D691">
        <f t="shared" si="77"/>
        <v>0.69340182827580277</v>
      </c>
      <c r="E691">
        <f t="shared" si="78"/>
        <v>0.64811990106312012</v>
      </c>
      <c r="F691">
        <f t="shared" si="76"/>
        <v>1913864718212540.2</v>
      </c>
    </row>
    <row r="692" spans="1:6" x14ac:dyDescent="0.2">
      <c r="A692">
        <f t="shared" si="73"/>
        <v>136.30000000000081</v>
      </c>
      <c r="B692">
        <f t="shared" si="74"/>
        <v>2.3788837704682853</v>
      </c>
      <c r="C692">
        <f t="shared" si="75"/>
        <v>-0.72296714590957789</v>
      </c>
      <c r="D692">
        <f t="shared" si="77"/>
        <v>0.69088241107684822</v>
      </c>
      <c r="E692">
        <f t="shared" si="78"/>
        <v>0.64545768772393985</v>
      </c>
      <c r="F692">
        <f t="shared" si="76"/>
        <v>1656301332649591.5</v>
      </c>
    </row>
    <row r="693" spans="1:6" x14ac:dyDescent="0.2">
      <c r="A693">
        <f t="shared" si="73"/>
        <v>136.5000000000008</v>
      </c>
      <c r="B693">
        <f t="shared" si="74"/>
        <v>2.3823744289722737</v>
      </c>
      <c r="C693">
        <f t="shared" si="75"/>
        <v>-0.72537437101229718</v>
      </c>
      <c r="D693">
        <f t="shared" si="77"/>
        <v>0.68835457569374392</v>
      </c>
      <c r="E693">
        <f t="shared" si="78"/>
        <v>0.6427876096865287</v>
      </c>
      <c r="F693">
        <f t="shared" si="76"/>
        <v>1432788297880945.8</v>
      </c>
    </row>
    <row r="694" spans="1:6" x14ac:dyDescent="0.2">
      <c r="A694">
        <f t="shared" si="73"/>
        <v>136.70000000000078</v>
      </c>
      <c r="B694">
        <f t="shared" si="74"/>
        <v>2.3858650874762621</v>
      </c>
      <c r="C694">
        <f t="shared" si="75"/>
        <v>-0.72777275765721983</v>
      </c>
      <c r="D694">
        <f t="shared" si="77"/>
        <v>0.68581835292736637</v>
      </c>
      <c r="E694">
        <f t="shared" si="78"/>
        <v>0.64010969948494512</v>
      </c>
      <c r="F694">
        <f t="shared" si="76"/>
        <v>1238910766286221.5</v>
      </c>
    </row>
    <row r="695" spans="1:6" x14ac:dyDescent="0.2">
      <c r="A695">
        <f t="shared" si="73"/>
        <v>136.90000000000077</v>
      </c>
      <c r="B695">
        <f t="shared" si="74"/>
        <v>2.3893557459802506</v>
      </c>
      <c r="C695">
        <f t="shared" si="75"/>
        <v>-0.7301622766207615</v>
      </c>
      <c r="D695">
        <f t="shared" si="77"/>
        <v>0.68327377368078934</v>
      </c>
      <c r="E695">
        <f t="shared" si="78"/>
        <v>0.63742398974867931</v>
      </c>
      <c r="F695">
        <f t="shared" si="76"/>
        <v>1070814206467992.5</v>
      </c>
    </row>
    <row r="696" spans="1:6" x14ac:dyDescent="0.2">
      <c r="A696">
        <f t="shared" si="73"/>
        <v>137.10000000000076</v>
      </c>
      <c r="B696">
        <f t="shared" si="74"/>
        <v>2.392846404484239</v>
      </c>
      <c r="C696">
        <f t="shared" si="75"/>
        <v>-0.73254289878738776</v>
      </c>
      <c r="D696">
        <f t="shared" si="77"/>
        <v>0.68072086895890815</v>
      </c>
      <c r="E696">
        <f t="shared" si="78"/>
        <v>0.63473051320225737</v>
      </c>
      <c r="F696">
        <f t="shared" si="76"/>
        <v>925134952424085.5</v>
      </c>
    </row>
    <row r="697" spans="1:6" x14ac:dyDescent="0.2">
      <c r="A697">
        <f t="shared" si="73"/>
        <v>137.30000000000075</v>
      </c>
      <c r="B697">
        <f t="shared" si="74"/>
        <v>2.3963370629882275</v>
      </c>
      <c r="C697">
        <f t="shared" si="75"/>
        <v>-0.73491459514996871</v>
      </c>
      <c r="D697">
        <f t="shared" si="77"/>
        <v>0.67815966986806109</v>
      </c>
      <c r="E697">
        <f t="shared" si="78"/>
        <v>0.63202930266484081</v>
      </c>
      <c r="F697">
        <f t="shared" si="76"/>
        <v>798939136381828</v>
      </c>
    </row>
    <row r="698" spans="1:6" x14ac:dyDescent="0.2">
      <c r="A698">
        <f t="shared" si="73"/>
        <v>137.50000000000074</v>
      </c>
      <c r="B698">
        <f t="shared" si="74"/>
        <v>2.3998277214922159</v>
      </c>
      <c r="C698">
        <f t="shared" si="75"/>
        <v>-0.73727733681013263</v>
      </c>
      <c r="D698">
        <f t="shared" si="77"/>
        <v>0.67559020761565081</v>
      </c>
      <c r="E698">
        <f t="shared" si="78"/>
        <v>0.62932039104982751</v>
      </c>
      <c r="F698">
        <f t="shared" si="76"/>
        <v>689669023122588.88</v>
      </c>
    </row>
    <row r="699" spans="1:6" x14ac:dyDescent="0.2">
      <c r="A699">
        <f t="shared" si="73"/>
        <v>137.70000000000073</v>
      </c>
      <c r="B699">
        <f t="shared" si="74"/>
        <v>2.4033183799962043</v>
      </c>
      <c r="C699">
        <f t="shared" si="75"/>
        <v>-0.73963109497861812</v>
      </c>
      <c r="D699">
        <f t="shared" si="77"/>
        <v>0.6730125135097641</v>
      </c>
      <c r="E699">
        <f t="shared" si="78"/>
        <v>0.62660381136445076</v>
      </c>
      <c r="F699">
        <f t="shared" si="76"/>
        <v>595095874796778.38</v>
      </c>
    </row>
    <row r="700" spans="1:6" x14ac:dyDescent="0.2">
      <c r="A700">
        <f t="shared" si="73"/>
        <v>137.90000000000072</v>
      </c>
      <c r="B700">
        <f t="shared" si="74"/>
        <v>2.4068090385001928</v>
      </c>
      <c r="C700">
        <f t="shared" si="75"/>
        <v>-0.74197584097562463</v>
      </c>
      <c r="D700">
        <f t="shared" si="77"/>
        <v>0.67042661895878997</v>
      </c>
      <c r="E700">
        <f t="shared" si="78"/>
        <v>0.62387959670937643</v>
      </c>
      <c r="F700">
        <f t="shared" si="76"/>
        <v>513278574315534.31</v>
      </c>
    </row>
    <row r="701" spans="1:6" x14ac:dyDescent="0.2">
      <c r="A701">
        <f t="shared" si="73"/>
        <v>138.1000000000007</v>
      </c>
      <c r="B701">
        <f t="shared" si="74"/>
        <v>2.4102996970041812</v>
      </c>
      <c r="C701">
        <f t="shared" si="75"/>
        <v>-0.74431154623116214</v>
      </c>
      <c r="D701">
        <f t="shared" si="77"/>
        <v>0.66783255547103759</v>
      </c>
      <c r="E701">
        <f t="shared" si="78"/>
        <v>0.62114778027830075</v>
      </c>
      <c r="F701">
        <f t="shared" si="76"/>
        <v>442527323657501.19</v>
      </c>
    </row>
    <row r="702" spans="1:6" x14ac:dyDescent="0.2">
      <c r="A702">
        <f t="shared" si="73"/>
        <v>138.30000000000069</v>
      </c>
      <c r="B702">
        <f t="shared" si="74"/>
        <v>2.4137903555081697</v>
      </c>
      <c r="C702">
        <f t="shared" si="75"/>
        <v>-0.74663818228539924</v>
      </c>
      <c r="D702">
        <f t="shared" si="77"/>
        <v>0.66523035465435199</v>
      </c>
      <c r="E702">
        <f t="shared" si="78"/>
        <v>0.61840839535754477</v>
      </c>
      <c r="F702">
        <f t="shared" si="76"/>
        <v>381371811976136.38</v>
      </c>
    </row>
    <row r="703" spans="1:6" x14ac:dyDescent="0.2">
      <c r="A703">
        <f t="shared" si="73"/>
        <v>138.50000000000068</v>
      </c>
      <c r="B703">
        <f t="shared" si="74"/>
        <v>2.4172810140121586</v>
      </c>
      <c r="C703">
        <f t="shared" si="75"/>
        <v>-0.74895572078901018</v>
      </c>
      <c r="D703">
        <f t="shared" si="77"/>
        <v>0.6626200482157284</v>
      </c>
      <c r="E703">
        <f t="shared" si="78"/>
        <v>0.61566147532564874</v>
      </c>
      <c r="F703">
        <f t="shared" si="76"/>
        <v>328533318254266.75</v>
      </c>
    </row>
    <row r="704" spans="1:6" x14ac:dyDescent="0.2">
      <c r="A704">
        <f t="shared" si="73"/>
        <v>138.70000000000067</v>
      </c>
      <c r="B704">
        <f t="shared" si="74"/>
        <v>2.4207716725161466</v>
      </c>
      <c r="C704">
        <f t="shared" si="75"/>
        <v>-0.75126413350351873</v>
      </c>
      <c r="D704">
        <f t="shared" si="77"/>
        <v>0.66000166796092818</v>
      </c>
      <c r="E704">
        <f t="shared" si="78"/>
        <v>0.61290705365296749</v>
      </c>
      <c r="F704">
        <f t="shared" si="76"/>
        <v>282900275345213.69</v>
      </c>
    </row>
    <row r="705" spans="1:6" x14ac:dyDescent="0.2">
      <c r="A705">
        <f t="shared" si="73"/>
        <v>138.90000000000066</v>
      </c>
      <c r="B705">
        <f t="shared" si="74"/>
        <v>2.424262331020135</v>
      </c>
      <c r="C705">
        <f t="shared" si="75"/>
        <v>-0.75356339230164526</v>
      </c>
      <c r="D705">
        <f t="shared" si="77"/>
        <v>0.65737524579408735</v>
      </c>
      <c r="E705">
        <f t="shared" si="78"/>
        <v>0.61014516390125872</v>
      </c>
      <c r="F705">
        <f t="shared" si="76"/>
        <v>243506877389841.31</v>
      </c>
    </row>
    <row r="706" spans="1:6" x14ac:dyDescent="0.2">
      <c r="A706">
        <f t="shared" si="73"/>
        <v>139.10000000000065</v>
      </c>
      <c r="B706">
        <f t="shared" si="74"/>
        <v>2.4277529895241234</v>
      </c>
      <c r="C706">
        <f t="shared" si="75"/>
        <v>-0.75585346916764673</v>
      </c>
      <c r="D706">
        <f t="shared" si="77"/>
        <v>0.65474081371733139</v>
      </c>
      <c r="E706">
        <f t="shared" si="78"/>
        <v>0.60737583972327791</v>
      </c>
      <c r="F706">
        <f t="shared" si="76"/>
        <v>209514361550112.22</v>
      </c>
    </row>
    <row r="707" spans="1:6" x14ac:dyDescent="0.2">
      <c r="A707">
        <f t="shared" si="73"/>
        <v>139.30000000000064</v>
      </c>
      <c r="B707">
        <f t="shared" si="74"/>
        <v>2.4312436480281123</v>
      </c>
      <c r="C707">
        <f t="shared" si="75"/>
        <v>-0.75813433619765946</v>
      </c>
      <c r="D707">
        <f t="shared" si="77"/>
        <v>0.65209840383038364</v>
      </c>
      <c r="E707">
        <f t="shared" si="78"/>
        <v>0.60459911486236584</v>
      </c>
      <c r="F707">
        <f t="shared" si="76"/>
        <v>180194638418037.06</v>
      </c>
    </row>
    <row r="708" spans="1:6" x14ac:dyDescent="0.2">
      <c r="A708">
        <f t="shared" si="73"/>
        <v>139.50000000000063</v>
      </c>
      <c r="B708">
        <f t="shared" si="74"/>
        <v>2.4347343065321008</v>
      </c>
      <c r="C708">
        <f t="shared" si="75"/>
        <v>-0.76040596560003804</v>
      </c>
      <c r="D708">
        <f t="shared" si="77"/>
        <v>0.64944804833017533</v>
      </c>
      <c r="E708">
        <f t="shared" si="78"/>
        <v>0.6018150231520395</v>
      </c>
      <c r="F708">
        <f t="shared" si="76"/>
        <v>154915983945754.97</v>
      </c>
    </row>
    <row r="709" spans="1:6" x14ac:dyDescent="0.2">
      <c r="A709">
        <f t="shared" si="73"/>
        <v>139.70000000000061</v>
      </c>
      <c r="B709">
        <f t="shared" si="74"/>
        <v>2.4382249650360892</v>
      </c>
      <c r="C709">
        <f t="shared" si="75"/>
        <v>-0.76266832969569531</v>
      </c>
      <c r="D709">
        <f t="shared" si="77"/>
        <v>0.64678977951045136</v>
      </c>
      <c r="E709">
        <f t="shared" si="78"/>
        <v>0.59902359851557729</v>
      </c>
      <c r="F709">
        <f t="shared" si="76"/>
        <v>133130539833747.83</v>
      </c>
    </row>
    <row r="710" spans="1:6" x14ac:dyDescent="0.2">
      <c r="A710">
        <f t="shared" si="73"/>
        <v>139.9000000000006</v>
      </c>
      <c r="B710">
        <f t="shared" si="74"/>
        <v>2.4417156235400772</v>
      </c>
      <c r="C710">
        <f t="shared" si="75"/>
        <v>-0.7649214009184383</v>
      </c>
      <c r="D710">
        <f t="shared" si="77"/>
        <v>0.64412362976137882</v>
      </c>
      <c r="E710">
        <f t="shared" si="78"/>
        <v>0.59622487496560761</v>
      </c>
      <c r="F710">
        <f t="shared" si="76"/>
        <v>114363399493108.11</v>
      </c>
    </row>
    <row r="711" spans="1:6" x14ac:dyDescent="0.2">
      <c r="A711">
        <f t="shared" si="73"/>
        <v>140.10000000000059</v>
      </c>
      <c r="B711">
        <f t="shared" si="74"/>
        <v>2.4452062820440661</v>
      </c>
      <c r="C711">
        <f t="shared" si="75"/>
        <v>-0.7671651518153062</v>
      </c>
      <c r="D711">
        <f t="shared" si="77"/>
        <v>0.64144963156914991</v>
      </c>
      <c r="E711">
        <f t="shared" si="78"/>
        <v>0.59341888660369313</v>
      </c>
      <c r="F711">
        <f t="shared" si="76"/>
        <v>98203083395001.625</v>
      </c>
    </row>
    <row r="712" spans="1:6" x14ac:dyDescent="0.2">
      <c r="A712">
        <f t="shared" si="73"/>
        <v>140.30000000000058</v>
      </c>
      <c r="B712">
        <f t="shared" si="74"/>
        <v>2.4486969405480545</v>
      </c>
      <c r="C712">
        <f t="shared" si="75"/>
        <v>-0.7693995550469015</v>
      </c>
      <c r="D712">
        <f t="shared" si="77"/>
        <v>0.63876781751558986</v>
      </c>
      <c r="E712">
        <f t="shared" si="78"/>
        <v>0.59060566761991717</v>
      </c>
      <c r="F712">
        <f t="shared" si="76"/>
        <v>84293231223100.516</v>
      </c>
    </row>
    <row r="713" spans="1:6" x14ac:dyDescent="0.2">
      <c r="A713">
        <f t="shared" si="73"/>
        <v>140.50000000000057</v>
      </c>
      <c r="B713">
        <f t="shared" si="74"/>
        <v>2.452187599052043</v>
      </c>
      <c r="C713">
        <f t="shared" si="75"/>
        <v>-0.77162458338772633</v>
      </c>
      <c r="D713">
        <f t="shared" si="77"/>
        <v>0.63607822027775629</v>
      </c>
      <c r="E713">
        <f t="shared" si="78"/>
        <v>0.58778525229246503</v>
      </c>
      <c r="F713">
        <f t="shared" si="76"/>
        <v>72325359097375.891</v>
      </c>
    </row>
    <row r="714" spans="1:6" x14ac:dyDescent="0.2">
      <c r="A714">
        <f t="shared" ref="A714:A777" si="79">A713+0.2</f>
        <v>140.70000000000056</v>
      </c>
      <c r="B714">
        <f t="shared" si="74"/>
        <v>2.4556782575560314</v>
      </c>
      <c r="C714">
        <f t="shared" si="75"/>
        <v>-0.77384020972651235</v>
      </c>
      <c r="D714">
        <f t="shared" si="77"/>
        <v>0.63338087262754261</v>
      </c>
      <c r="E714">
        <f t="shared" si="78"/>
        <v>0.58495767498720752</v>
      </c>
      <c r="F714">
        <f t="shared" si="76"/>
        <v>62032548549396.172</v>
      </c>
    </row>
    <row r="715" spans="1:6" x14ac:dyDescent="0.2">
      <c r="A715">
        <f t="shared" si="79"/>
        <v>140.90000000000055</v>
      </c>
      <c r="B715">
        <f t="shared" ref="B715:B778" si="80">A715*PI()/180</f>
        <v>2.4591689160600199</v>
      </c>
      <c r="C715">
        <f t="shared" ref="C715:C778" si="81">COS(B715)</f>
        <v>-0.77604640706655192</v>
      </c>
      <c r="D715">
        <f t="shared" si="77"/>
        <v>0.63067580743127882</v>
      </c>
      <c r="E715">
        <f t="shared" si="78"/>
        <v>0.58212297015728165</v>
      </c>
      <c r="F715">
        <f t="shared" ref="F715:F778" si="82">EXP(E715*$C$5*$C$6^2/($C$3*$C$2))</f>
        <v>53183950175138.523</v>
      </c>
    </row>
    <row r="716" spans="1:6" x14ac:dyDescent="0.2">
      <c r="A716">
        <f t="shared" si="79"/>
        <v>141.10000000000053</v>
      </c>
      <c r="B716">
        <f t="shared" si="80"/>
        <v>2.4626595745640083</v>
      </c>
      <c r="C716">
        <f t="shared" si="81"/>
        <v>-0.77824314852602683</v>
      </c>
      <c r="D716">
        <f t="shared" si="77"/>
        <v>0.62796305764933069</v>
      </c>
      <c r="E716">
        <f t="shared" si="78"/>
        <v>0.57928117234267129</v>
      </c>
      <c r="F716">
        <f t="shared" si="82"/>
        <v>45579999217361.047</v>
      </c>
    </row>
    <row r="717" spans="1:6" x14ac:dyDescent="0.2">
      <c r="A717">
        <f t="shared" si="79"/>
        <v>141.30000000000052</v>
      </c>
      <c r="B717">
        <f t="shared" si="80"/>
        <v>2.4661502330679967</v>
      </c>
      <c r="C717">
        <f t="shared" si="81"/>
        <v>-0.78043040733833535</v>
      </c>
      <c r="D717">
        <f t="shared" si="77"/>
        <v>0.62524265633569809</v>
      </c>
      <c r="E717">
        <f t="shared" si="78"/>
        <v>0.57643231616978585</v>
      </c>
      <c r="F717">
        <f t="shared" si="82"/>
        <v>39048252954492.688</v>
      </c>
    </row>
    <row r="718" spans="1:6" x14ac:dyDescent="0.2">
      <c r="A718">
        <f t="shared" si="79"/>
        <v>141.50000000000051</v>
      </c>
      <c r="B718">
        <f t="shared" si="80"/>
        <v>2.4696408915719852</v>
      </c>
      <c r="C718">
        <f t="shared" si="81"/>
        <v>-0.78260815685241947</v>
      </c>
      <c r="D718">
        <f t="shared" si="77"/>
        <v>0.62251463663761264</v>
      </c>
      <c r="E718">
        <f t="shared" si="78"/>
        <v>0.57357643635103883</v>
      </c>
      <c r="F718">
        <f t="shared" si="82"/>
        <v>33439770892056.883</v>
      </c>
    </row>
    <row r="719" spans="1:6" x14ac:dyDescent="0.2">
      <c r="A719">
        <f t="shared" si="79"/>
        <v>141.7000000000005</v>
      </c>
      <c r="B719">
        <f t="shared" si="80"/>
        <v>2.4731315500759736</v>
      </c>
      <c r="C719">
        <f t="shared" si="81"/>
        <v>-0.78477637053308824</v>
      </c>
      <c r="D719">
        <f t="shared" si="77"/>
        <v>0.61977903179513338</v>
      </c>
      <c r="E719">
        <f t="shared" si="78"/>
        <v>0.57071356768442461</v>
      </c>
      <c r="F719">
        <f t="shared" si="82"/>
        <v>28625968539276.906</v>
      </c>
    </row>
    <row r="720" spans="1:6" x14ac:dyDescent="0.2">
      <c r="A720">
        <f t="shared" si="79"/>
        <v>141.90000000000049</v>
      </c>
      <c r="B720">
        <f t="shared" si="80"/>
        <v>2.4766222085799621</v>
      </c>
      <c r="C720">
        <f t="shared" si="81"/>
        <v>-0.78693502196134246</v>
      </c>
      <c r="D720">
        <f t="shared" si="77"/>
        <v>0.6170358751407421</v>
      </c>
      <c r="E720">
        <f t="shared" si="78"/>
        <v>0.56784374505309443</v>
      </c>
      <c r="F720">
        <f t="shared" si="82"/>
        <v>24495884162183.129</v>
      </c>
    </row>
    <row r="721" spans="1:6" x14ac:dyDescent="0.2">
      <c r="A721">
        <f t="shared" si="79"/>
        <v>142.10000000000048</v>
      </c>
      <c r="B721">
        <f t="shared" si="80"/>
        <v>2.4801128670839505</v>
      </c>
      <c r="C721">
        <f t="shared" si="81"/>
        <v>-0.78908408483469572</v>
      </c>
      <c r="D721">
        <f t="shared" si="77"/>
        <v>0.61428520009893672</v>
      </c>
      <c r="E721">
        <f t="shared" si="78"/>
        <v>0.56496700342493111</v>
      </c>
      <c r="F721">
        <f t="shared" si="82"/>
        <v>20953805472390.012</v>
      </c>
    </row>
    <row r="722" spans="1:6" x14ac:dyDescent="0.2">
      <c r="A722">
        <f t="shared" si="79"/>
        <v>142.30000000000047</v>
      </c>
      <c r="B722">
        <f t="shared" si="80"/>
        <v>2.483603525587939</v>
      </c>
      <c r="C722">
        <f t="shared" si="81"/>
        <v>-0.79122353296749492</v>
      </c>
      <c r="D722">
        <f t="shared" si="77"/>
        <v>0.61152704018582482</v>
      </c>
      <c r="E722">
        <f t="shared" si="78"/>
        <v>0.56208337785212392</v>
      </c>
      <c r="F722">
        <f t="shared" si="82"/>
        <v>17917209859553.973</v>
      </c>
    </row>
    <row r="723" spans="1:6" x14ac:dyDescent="0.2">
      <c r="A723">
        <f t="shared" si="79"/>
        <v>142.50000000000045</v>
      </c>
      <c r="B723">
        <f t="shared" si="80"/>
        <v>2.4870941840919274</v>
      </c>
      <c r="C723">
        <f t="shared" si="81"/>
        <v>-0.79335334029123983</v>
      </c>
      <c r="D723">
        <f t="shared" si="77"/>
        <v>0.60876142900871444</v>
      </c>
      <c r="E723">
        <f t="shared" si="78"/>
        <v>0.55919290347074035</v>
      </c>
      <c r="F723">
        <f t="shared" si="82"/>
        <v>15314977613464.279</v>
      </c>
    </row>
    <row r="724" spans="1:6" x14ac:dyDescent="0.2">
      <c r="A724">
        <f t="shared" si="79"/>
        <v>142.70000000000044</v>
      </c>
      <c r="B724">
        <f t="shared" si="80"/>
        <v>2.4905848425959158</v>
      </c>
      <c r="C724">
        <f t="shared" si="81"/>
        <v>-0.79547348085490044</v>
      </c>
      <c r="D724">
        <f t="shared" si="77"/>
        <v>0.605988400265705</v>
      </c>
      <c r="E724">
        <f t="shared" si="78"/>
        <v>0.55629561550029849</v>
      </c>
      <c r="F724">
        <f t="shared" si="82"/>
        <v>13085842704586.221</v>
      </c>
    </row>
    <row r="725" spans="1:6" x14ac:dyDescent="0.2">
      <c r="A725">
        <f t="shared" si="79"/>
        <v>142.90000000000043</v>
      </c>
      <c r="B725">
        <f t="shared" si="80"/>
        <v>2.4940755010999043</v>
      </c>
      <c r="C725">
        <f t="shared" si="81"/>
        <v>-0.79758392882523288</v>
      </c>
      <c r="D725">
        <f t="shared" ref="D725:D788" si="83">SIN(B725)</f>
        <v>0.60320798774527662</v>
      </c>
      <c r="E725">
        <f t="shared" ref="E725:E788" si="84">C725*$E$7+D725*$F$7</f>
        <v>0.553391549243338</v>
      </c>
      <c r="F725">
        <f t="shared" si="82"/>
        <v>11177050184601.111</v>
      </c>
    </row>
    <row r="726" spans="1:6" x14ac:dyDescent="0.2">
      <c r="A726">
        <f t="shared" si="79"/>
        <v>143.10000000000042</v>
      </c>
      <c r="B726">
        <f t="shared" si="80"/>
        <v>2.4975661596038927</v>
      </c>
      <c r="C726">
        <f t="shared" si="81"/>
        <v>-0.7996846584870948</v>
      </c>
      <c r="D726">
        <f t="shared" si="83"/>
        <v>0.60042022532587835</v>
      </c>
      <c r="E726">
        <f t="shared" si="84"/>
        <v>0.55048074008498959</v>
      </c>
      <c r="F726">
        <f t="shared" si="82"/>
        <v>9543193206254.9062</v>
      </c>
    </row>
    <row r="727" spans="1:6" x14ac:dyDescent="0.2">
      <c r="A727">
        <f t="shared" si="79"/>
        <v>143.30000000000041</v>
      </c>
      <c r="B727">
        <f t="shared" si="80"/>
        <v>2.5010568181078812</v>
      </c>
      <c r="C727">
        <f t="shared" si="81"/>
        <v>-0.80177564424375813</v>
      </c>
      <c r="D727">
        <f t="shared" si="83"/>
        <v>0.59762514697551561</v>
      </c>
      <c r="E727">
        <f t="shared" si="84"/>
        <v>0.54756322349254449</v>
      </c>
      <c r="F727">
        <f t="shared" si="82"/>
        <v>8145206111186.4385</v>
      </c>
    </row>
    <row r="728" spans="1:6" x14ac:dyDescent="0.2">
      <c r="A728">
        <f t="shared" si="79"/>
        <v>143.5000000000004</v>
      </c>
      <c r="B728">
        <f t="shared" si="80"/>
        <v>2.5045474766118696</v>
      </c>
      <c r="C728">
        <f t="shared" si="81"/>
        <v>-0.80385686061722128</v>
      </c>
      <c r="D728">
        <f t="shared" si="83"/>
        <v>0.59482278675133593</v>
      </c>
      <c r="E728">
        <f t="shared" si="84"/>
        <v>0.54463903501502142</v>
      </c>
      <c r="F728">
        <f t="shared" si="82"/>
        <v>6949493054155.3486</v>
      </c>
    </row>
    <row r="729" spans="1:6" x14ac:dyDescent="0.2">
      <c r="A729">
        <f t="shared" si="79"/>
        <v>143.70000000000039</v>
      </c>
      <c r="B729">
        <f t="shared" si="80"/>
        <v>2.5080381351158585</v>
      </c>
      <c r="C729">
        <f t="shared" si="81"/>
        <v>-0.80592828224851987</v>
      </c>
      <c r="D729">
        <f t="shared" si="83"/>
        <v>0.592013178799214</v>
      </c>
      <c r="E729">
        <f t="shared" si="84"/>
        <v>0.54170821028273408</v>
      </c>
      <c r="F729">
        <f t="shared" si="82"/>
        <v>5927174274243.7949</v>
      </c>
    </row>
    <row r="730" spans="1:6" x14ac:dyDescent="0.2">
      <c r="A730">
        <f t="shared" si="79"/>
        <v>143.90000000000038</v>
      </c>
      <c r="B730">
        <f t="shared" si="80"/>
        <v>2.5115287936198469</v>
      </c>
      <c r="C730">
        <f t="shared" si="81"/>
        <v>-0.8079898838980345</v>
      </c>
      <c r="D730">
        <f t="shared" si="83"/>
        <v>0.58919635735333664</v>
      </c>
      <c r="E730">
        <f t="shared" si="84"/>
        <v>0.53877078500685738</v>
      </c>
      <c r="F730">
        <f t="shared" si="82"/>
        <v>5053434434024.3086</v>
      </c>
    </row>
    <row r="731" spans="1:6" x14ac:dyDescent="0.2">
      <c r="A731">
        <f t="shared" si="79"/>
        <v>144.10000000000036</v>
      </c>
      <c r="B731">
        <f t="shared" si="80"/>
        <v>2.5150194521238349</v>
      </c>
      <c r="C731">
        <f t="shared" si="81"/>
        <v>-0.81004164044579952</v>
      </c>
      <c r="D731">
        <f t="shared" si="83"/>
        <v>0.58637235673578447</v>
      </c>
      <c r="E731">
        <f t="shared" si="84"/>
        <v>0.53582679497899155</v>
      </c>
      <c r="F731">
        <f t="shared" si="82"/>
        <v>4306959466894.9111</v>
      </c>
    </row>
    <row r="732" spans="1:6" x14ac:dyDescent="0.2">
      <c r="A732">
        <f t="shared" si="79"/>
        <v>144.30000000000035</v>
      </c>
      <c r="B732">
        <f t="shared" si="80"/>
        <v>2.5185101106278234</v>
      </c>
      <c r="C732">
        <f t="shared" si="81"/>
        <v>-0.81208352689180963</v>
      </c>
      <c r="D732">
        <f t="shared" si="83"/>
        <v>0.58354121135611281</v>
      </c>
      <c r="E732">
        <f t="shared" si="84"/>
        <v>0.53287627607072507</v>
      </c>
      <c r="F732">
        <f t="shared" si="82"/>
        <v>3669450136478.606</v>
      </c>
    </row>
    <row r="733" spans="1:6" x14ac:dyDescent="0.2">
      <c r="A733">
        <f t="shared" si="79"/>
        <v>144.50000000000034</v>
      </c>
      <c r="B733">
        <f t="shared" si="80"/>
        <v>2.5220007691318123</v>
      </c>
      <c r="C733">
        <f t="shared" si="81"/>
        <v>-0.81411551835632268</v>
      </c>
      <c r="D733">
        <f t="shared" si="83"/>
        <v>0.58070295571093489</v>
      </c>
      <c r="E733">
        <f t="shared" si="84"/>
        <v>0.5299192642331999</v>
      </c>
      <c r="F733">
        <f t="shared" si="82"/>
        <v>3125202051634.5977</v>
      </c>
    </row>
    <row r="734" spans="1:6" x14ac:dyDescent="0.2">
      <c r="A734">
        <f t="shared" si="79"/>
        <v>144.70000000000033</v>
      </c>
      <c r="B734">
        <f t="shared" si="80"/>
        <v>2.5254914276358007</v>
      </c>
      <c r="C734">
        <f t="shared" si="81"/>
        <v>-0.81613759008016362</v>
      </c>
      <c r="D734">
        <f t="shared" si="83"/>
        <v>0.57785762438350063</v>
      </c>
      <c r="E734">
        <f t="shared" si="84"/>
        <v>0.52695579549667271</v>
      </c>
      <c r="F734">
        <f t="shared" si="82"/>
        <v>2660743223949.4893</v>
      </c>
    </row>
    <row r="735" spans="1:6" x14ac:dyDescent="0.2">
      <c r="A735">
        <f t="shared" si="79"/>
        <v>144.90000000000032</v>
      </c>
      <c r="B735">
        <f t="shared" si="80"/>
        <v>2.5289820861397891</v>
      </c>
      <c r="C735">
        <f t="shared" si="81"/>
        <v>-0.81814971742502662</v>
      </c>
      <c r="D735">
        <f t="shared" si="83"/>
        <v>0.57500525204327402</v>
      </c>
      <c r="E735">
        <f t="shared" si="84"/>
        <v>0.52398590597007444</v>
      </c>
      <c r="F735">
        <f t="shared" si="82"/>
        <v>2264521425953.0625</v>
      </c>
    </row>
    <row r="736" spans="1:6" x14ac:dyDescent="0.2">
      <c r="A736">
        <f t="shared" si="79"/>
        <v>145.10000000000031</v>
      </c>
      <c r="B736">
        <f t="shared" si="80"/>
        <v>2.5324727446437771</v>
      </c>
      <c r="C736">
        <f t="shared" si="81"/>
        <v>-0.82015187587377492</v>
      </c>
      <c r="D736">
        <f t="shared" si="83"/>
        <v>0.57214587344551215</v>
      </c>
      <c r="E736">
        <f t="shared" si="84"/>
        <v>0.52100963184057203</v>
      </c>
      <c r="F736">
        <f t="shared" si="82"/>
        <v>1926634629181.4971</v>
      </c>
    </row>
    <row r="737" spans="1:6" x14ac:dyDescent="0.2">
      <c r="A737">
        <f t="shared" si="79"/>
        <v>145.3000000000003</v>
      </c>
      <c r="B737">
        <f t="shared" si="80"/>
        <v>2.535963403147766</v>
      </c>
      <c r="C737">
        <f t="shared" si="81"/>
        <v>-0.82214404103074035</v>
      </c>
      <c r="D737">
        <f t="shared" si="83"/>
        <v>0.56927952343083998</v>
      </c>
      <c r="E737">
        <f t="shared" si="84"/>
        <v>0.51802700937312585</v>
      </c>
      <c r="F737">
        <f t="shared" si="82"/>
        <v>1638598690438.2935</v>
      </c>
    </row>
    <row r="738" spans="1:6" x14ac:dyDescent="0.2">
      <c r="A738">
        <f t="shared" si="79"/>
        <v>145.50000000000028</v>
      </c>
      <c r="B738">
        <f t="shared" si="80"/>
        <v>2.5394540616517545</v>
      </c>
      <c r="C738">
        <f t="shared" si="81"/>
        <v>-0.82412618862201847</v>
      </c>
      <c r="D738">
        <f t="shared" si="83"/>
        <v>0.56640623692482872</v>
      </c>
      <c r="E738">
        <f t="shared" si="84"/>
        <v>0.51503807491004994</v>
      </c>
      <c r="F738">
        <f t="shared" si="82"/>
        <v>1393147228743.0979</v>
      </c>
    </row>
    <row r="739" spans="1:6" x14ac:dyDescent="0.2">
      <c r="A739">
        <f t="shared" si="79"/>
        <v>145.70000000000027</v>
      </c>
      <c r="B739">
        <f t="shared" si="80"/>
        <v>2.5429447201557429</v>
      </c>
      <c r="C739">
        <f t="shared" si="81"/>
        <v>-0.82609829449576655</v>
      </c>
      <c r="D739">
        <f t="shared" si="83"/>
        <v>0.56352604893756753</v>
      </c>
      <c r="E739">
        <f t="shared" si="84"/>
        <v>0.51204286487056738</v>
      </c>
      <c r="F739">
        <f t="shared" si="82"/>
        <v>1184059309035.3123</v>
      </c>
    </row>
    <row r="740" spans="1:6" x14ac:dyDescent="0.2">
      <c r="A740">
        <f t="shared" si="79"/>
        <v>145.90000000000026</v>
      </c>
      <c r="B740">
        <f t="shared" si="80"/>
        <v>2.5464353786597314</v>
      </c>
      <c r="C740">
        <f t="shared" si="81"/>
        <v>-0.82806033462249695</v>
      </c>
      <c r="D740">
        <f t="shared" si="83"/>
        <v>0.56063899456323796</v>
      </c>
      <c r="E740">
        <f t="shared" si="84"/>
        <v>0.50904141575036732</v>
      </c>
      <c r="F740">
        <f t="shared" si="82"/>
        <v>1006011134469.8195</v>
      </c>
    </row>
    <row r="741" spans="1:6" x14ac:dyDescent="0.2">
      <c r="A741">
        <f t="shared" si="79"/>
        <v>146.10000000000025</v>
      </c>
      <c r="B741">
        <f t="shared" si="80"/>
        <v>2.5499260371637198</v>
      </c>
      <c r="C741">
        <f t="shared" si="81"/>
        <v>-0.83001228509536984</v>
      </c>
      <c r="D741">
        <f t="shared" si="83"/>
        <v>0.55774510897968654</v>
      </c>
      <c r="E741">
        <f t="shared" si="84"/>
        <v>0.50603376412116008</v>
      </c>
      <c r="F741">
        <f t="shared" si="82"/>
        <v>854448458274.39441</v>
      </c>
    </row>
    <row r="742" spans="1:6" x14ac:dyDescent="0.2">
      <c r="A742">
        <f t="shared" si="79"/>
        <v>146.30000000000024</v>
      </c>
      <c r="B742">
        <f t="shared" si="80"/>
        <v>2.5534166956677082</v>
      </c>
      <c r="C742">
        <f t="shared" si="81"/>
        <v>-0.83195412213048481</v>
      </c>
      <c r="D742">
        <f t="shared" si="83"/>
        <v>0.55484442744799589</v>
      </c>
      <c r="E742">
        <f t="shared" si="84"/>
        <v>0.50301994663023153</v>
      </c>
      <c r="F742">
        <f t="shared" si="82"/>
        <v>725476868431.55042</v>
      </c>
    </row>
    <row r="743" spans="1:6" x14ac:dyDescent="0.2">
      <c r="A743">
        <f t="shared" si="79"/>
        <v>146.50000000000023</v>
      </c>
      <c r="B743">
        <f t="shared" si="80"/>
        <v>2.5569073541716967</v>
      </c>
      <c r="C743">
        <f t="shared" si="81"/>
        <v>-0.83388582206717032</v>
      </c>
      <c r="D743">
        <f t="shared" si="83"/>
        <v>0.55193698531205493</v>
      </c>
      <c r="E743">
        <f t="shared" si="84"/>
        <v>0.49999999999999667</v>
      </c>
      <c r="F743">
        <f t="shared" si="82"/>
        <v>615767482470.23962</v>
      </c>
    </row>
    <row r="744" spans="1:6" x14ac:dyDescent="0.2">
      <c r="A744">
        <f t="shared" si="79"/>
        <v>146.70000000000022</v>
      </c>
      <c r="B744">
        <f t="shared" si="80"/>
        <v>2.5603980126756851</v>
      </c>
      <c r="C744">
        <f t="shared" si="81"/>
        <v>-0.83580736136827227</v>
      </c>
      <c r="D744">
        <f t="shared" si="83"/>
        <v>0.54902281799812869</v>
      </c>
      <c r="E744">
        <f t="shared" si="84"/>
        <v>0.49697396102755215</v>
      </c>
      <c r="F744">
        <f t="shared" si="82"/>
        <v>522475922910.61224</v>
      </c>
    </row>
    <row r="745" spans="1:6" x14ac:dyDescent="0.2">
      <c r="A745">
        <f t="shared" si="79"/>
        <v>146.9000000000002</v>
      </c>
      <c r="B745">
        <f t="shared" si="80"/>
        <v>2.5638886711796736</v>
      </c>
      <c r="C745">
        <f t="shared" si="81"/>
        <v>-0.83771871662044062</v>
      </c>
      <c r="D745">
        <f t="shared" si="83"/>
        <v>0.54610196101442621</v>
      </c>
      <c r="E745">
        <f t="shared" si="84"/>
        <v>0.49394186658422801</v>
      </c>
      <c r="F745">
        <f t="shared" si="82"/>
        <v>443172732957.29785</v>
      </c>
    </row>
    <row r="746" spans="1:6" x14ac:dyDescent="0.2">
      <c r="A746">
        <f t="shared" si="79"/>
        <v>147.10000000000019</v>
      </c>
      <c r="B746">
        <f t="shared" si="80"/>
        <v>2.567379329683662</v>
      </c>
      <c r="C746">
        <f t="shared" si="81"/>
        <v>-0.83961986453441495</v>
      </c>
      <c r="D746">
        <f t="shared" si="83"/>
        <v>0.54317444995066799</v>
      </c>
      <c r="E746">
        <f t="shared" si="84"/>
        <v>0.49090375361513799</v>
      </c>
      <c r="F746">
        <f t="shared" si="82"/>
        <v>375783642619.09839</v>
      </c>
    </row>
    <row r="747" spans="1:6" x14ac:dyDescent="0.2">
      <c r="A747">
        <f t="shared" si="79"/>
        <v>147.30000000000018</v>
      </c>
      <c r="B747">
        <f t="shared" si="80"/>
        <v>2.5708699881876504</v>
      </c>
      <c r="C747">
        <f t="shared" si="81"/>
        <v>-0.84151078194530771</v>
      </c>
      <c r="D747">
        <f t="shared" si="83"/>
        <v>0.54024032047765247</v>
      </c>
      <c r="E747">
        <f t="shared" si="84"/>
        <v>0.48785965913872997</v>
      </c>
      <c r="F747">
        <f t="shared" si="82"/>
        <v>318538312553.77411</v>
      </c>
    </row>
    <row r="748" spans="1:6" x14ac:dyDescent="0.2">
      <c r="A748">
        <f t="shared" si="79"/>
        <v>147.50000000000017</v>
      </c>
      <c r="B748">
        <f t="shared" si="80"/>
        <v>2.5743606466916389</v>
      </c>
      <c r="C748">
        <f t="shared" si="81"/>
        <v>-0.84339144581288716</v>
      </c>
      <c r="D748">
        <f t="shared" si="83"/>
        <v>0.53729960834682156</v>
      </c>
      <c r="E748">
        <f t="shared" si="84"/>
        <v>0.48480962024633462</v>
      </c>
      <c r="F748">
        <f t="shared" si="82"/>
        <v>269926370968.79446</v>
      </c>
    </row>
    <row r="749" spans="1:6" x14ac:dyDescent="0.2">
      <c r="A749">
        <f t="shared" si="79"/>
        <v>147.70000000000016</v>
      </c>
      <c r="B749">
        <f t="shared" si="80"/>
        <v>2.5778513051956273</v>
      </c>
      <c r="C749">
        <f t="shared" si="81"/>
        <v>-0.84526183322185755</v>
      </c>
      <c r="D749">
        <f t="shared" si="83"/>
        <v>0.53435234938982423</v>
      </c>
      <c r="E749">
        <f t="shared" si="84"/>
        <v>0.48175367410171305</v>
      </c>
      <c r="F749">
        <f t="shared" si="82"/>
        <v>228659721667.52194</v>
      </c>
    </row>
    <row r="750" spans="1:6" x14ac:dyDescent="0.2">
      <c r="A750">
        <f t="shared" si="79"/>
        <v>147.90000000000015</v>
      </c>
      <c r="B750">
        <f t="shared" si="80"/>
        <v>2.5813419636996162</v>
      </c>
      <c r="C750">
        <f t="shared" si="81"/>
        <v>-0.8471219213821386</v>
      </c>
      <c r="D750">
        <f t="shared" si="83"/>
        <v>0.53139857951808056</v>
      </c>
      <c r="E750">
        <f t="shared" si="84"/>
        <v>0.47869185794060437</v>
      </c>
      <c r="F750">
        <f t="shared" si="82"/>
        <v>193640242141.61716</v>
      </c>
    </row>
    <row r="751" spans="1:6" x14ac:dyDescent="0.2">
      <c r="A751">
        <f t="shared" si="79"/>
        <v>148.10000000000014</v>
      </c>
      <c r="B751">
        <f t="shared" si="80"/>
        <v>2.5848326222036047</v>
      </c>
      <c r="C751">
        <f t="shared" si="81"/>
        <v>-0.84897168762914288</v>
      </c>
      <c r="D751">
        <f t="shared" si="83"/>
        <v>0.52843833472234503</v>
      </c>
      <c r="E751">
        <f t="shared" si="84"/>
        <v>0.47562420907027303</v>
      </c>
      <c r="F751">
        <f t="shared" si="82"/>
        <v>163932112373.31302</v>
      </c>
    </row>
    <row r="752" spans="1:6" x14ac:dyDescent="0.2">
      <c r="A752">
        <f t="shared" si="79"/>
        <v>148.30000000000013</v>
      </c>
      <c r="B752">
        <f t="shared" si="80"/>
        <v>2.5883232807075927</v>
      </c>
      <c r="C752">
        <f t="shared" si="81"/>
        <v>-0.85081110942405225</v>
      </c>
      <c r="D752">
        <f t="shared" si="83"/>
        <v>0.52547165107226623</v>
      </c>
      <c r="E752">
        <f t="shared" si="84"/>
        <v>0.47255076486905234</v>
      </c>
      <c r="F752">
        <f t="shared" si="82"/>
        <v>138738120250.48389</v>
      </c>
    </row>
    <row r="753" spans="1:6" x14ac:dyDescent="0.2">
      <c r="A753">
        <f t="shared" si="79"/>
        <v>148.50000000000011</v>
      </c>
      <c r="B753">
        <f t="shared" si="80"/>
        <v>2.5918139392115811</v>
      </c>
      <c r="C753">
        <f t="shared" si="81"/>
        <v>-0.85264016435409307</v>
      </c>
      <c r="D753">
        <f t="shared" si="83"/>
        <v>0.52249856471594747</v>
      </c>
      <c r="E753">
        <f t="shared" si="84"/>
        <v>0.46947156278588936</v>
      </c>
      <c r="F753">
        <f t="shared" si="82"/>
        <v>117379380410.65994</v>
      </c>
    </row>
    <row r="754" spans="1:6" x14ac:dyDescent="0.2">
      <c r="A754">
        <f t="shared" si="79"/>
        <v>148.7000000000001</v>
      </c>
      <c r="B754">
        <f t="shared" si="80"/>
        <v>2.59530459771557</v>
      </c>
      <c r="C754">
        <f t="shared" si="81"/>
        <v>-0.85445883013280843</v>
      </c>
      <c r="D754">
        <f t="shared" si="83"/>
        <v>0.51951911187950772</v>
      </c>
      <c r="E754">
        <f t="shared" si="84"/>
        <v>0.46638664033988941</v>
      </c>
      <c r="F754">
        <f t="shared" si="82"/>
        <v>99277981829.045547</v>
      </c>
    </row>
    <row r="755" spans="1:6" x14ac:dyDescent="0.2">
      <c r="A755">
        <f t="shared" si="79"/>
        <v>148.90000000000009</v>
      </c>
      <c r="B755">
        <f t="shared" si="80"/>
        <v>2.5987952562195584</v>
      </c>
      <c r="C755">
        <f t="shared" si="81"/>
        <v>-0.85626708460032908</v>
      </c>
      <c r="D755">
        <f t="shared" si="83"/>
        <v>0.51653332886664038</v>
      </c>
      <c r="E755">
        <f t="shared" si="84"/>
        <v>0.46329603511986017</v>
      </c>
      <c r="F755">
        <f t="shared" si="82"/>
        <v>83942147212.750076</v>
      </c>
    </row>
    <row r="756" spans="1:6" x14ac:dyDescent="0.2">
      <c r="A756">
        <f t="shared" si="79"/>
        <v>149.10000000000008</v>
      </c>
      <c r="B756">
        <f t="shared" si="80"/>
        <v>2.6022859147235469</v>
      </c>
      <c r="C756">
        <f t="shared" si="81"/>
        <v>-0.85806490572364524</v>
      </c>
      <c r="D756">
        <f t="shared" si="83"/>
        <v>0.51354125205816881</v>
      </c>
      <c r="E756">
        <f t="shared" si="84"/>
        <v>0.46019978478385026</v>
      </c>
      <c r="F756">
        <f t="shared" si="82"/>
        <v>70953545703.087051</v>
      </c>
    </row>
    <row r="757" spans="1:6" x14ac:dyDescent="0.2">
      <c r="A757">
        <f t="shared" si="79"/>
        <v>149.30000000000007</v>
      </c>
      <c r="B757">
        <f t="shared" si="80"/>
        <v>2.6057765732275349</v>
      </c>
      <c r="C757">
        <f t="shared" si="81"/>
        <v>-0.85985227159687383</v>
      </c>
      <c r="D757">
        <f t="shared" si="83"/>
        <v>0.51054291791160511</v>
      </c>
      <c r="E757">
        <f t="shared" si="84"/>
        <v>0.45709792705869345</v>
      </c>
      <c r="F757">
        <f t="shared" si="82"/>
        <v>59956450774.789764</v>
      </c>
    </row>
    <row r="758" spans="1:6" x14ac:dyDescent="0.2">
      <c r="A758">
        <f t="shared" si="79"/>
        <v>149.50000000000006</v>
      </c>
      <c r="B758">
        <f t="shared" si="80"/>
        <v>2.6092672317315238</v>
      </c>
      <c r="C758">
        <f t="shared" si="81"/>
        <v>-0.86162916044152627</v>
      </c>
      <c r="D758">
        <f t="shared" si="83"/>
        <v>0.50753836296070332</v>
      </c>
      <c r="E758">
        <f t="shared" si="84"/>
        <v>0.45399049973954586</v>
      </c>
      <c r="F758">
        <f t="shared" si="82"/>
        <v>50648478643.948372</v>
      </c>
    </row>
    <row r="759" spans="1:6" x14ac:dyDescent="0.2">
      <c r="A759">
        <f t="shared" si="79"/>
        <v>149.70000000000005</v>
      </c>
      <c r="B759">
        <f t="shared" si="80"/>
        <v>2.6127578902355122</v>
      </c>
      <c r="C759">
        <f t="shared" si="81"/>
        <v>-0.86339555060677209</v>
      </c>
      <c r="D759">
        <f t="shared" si="83"/>
        <v>0.50452762381501859</v>
      </c>
      <c r="E759">
        <f t="shared" si="84"/>
        <v>0.45087754068943003</v>
      </c>
      <c r="F759">
        <f t="shared" si="82"/>
        <v>42772679900.666832</v>
      </c>
    </row>
    <row r="760" spans="1:6" x14ac:dyDescent="0.2">
      <c r="A760">
        <f t="shared" si="79"/>
        <v>149.90000000000003</v>
      </c>
      <c r="B760">
        <f t="shared" si="80"/>
        <v>2.6162485487395006</v>
      </c>
      <c r="C760">
        <f t="shared" si="81"/>
        <v>-0.86515142056970473</v>
      </c>
      <c r="D760">
        <f t="shared" si="83"/>
        <v>0.50151073715945682</v>
      </c>
      <c r="E760">
        <f t="shared" si="84"/>
        <v>0.44775908783876911</v>
      </c>
      <c r="F760">
        <f t="shared" si="82"/>
        <v>36110789286.562195</v>
      </c>
    </row>
    <row r="761" spans="1:6" x14ac:dyDescent="0.2">
      <c r="A761">
        <f t="shared" si="79"/>
        <v>150.10000000000002</v>
      </c>
      <c r="B761">
        <f t="shared" si="80"/>
        <v>2.6197392072434891</v>
      </c>
      <c r="C761">
        <f t="shared" si="81"/>
        <v>-0.86689674893560298</v>
      </c>
      <c r="D761">
        <f t="shared" si="83"/>
        <v>0.49848773975382998</v>
      </c>
      <c r="E761">
        <f t="shared" si="84"/>
        <v>0.44463517918492707</v>
      </c>
      <c r="F761">
        <f t="shared" si="82"/>
        <v>30477466251.747463</v>
      </c>
    </row>
    <row r="762" spans="1:6" x14ac:dyDescent="0.2">
      <c r="A762">
        <f t="shared" si="79"/>
        <v>150.30000000000001</v>
      </c>
      <c r="B762">
        <f t="shared" si="80"/>
        <v>2.6232298657474775</v>
      </c>
      <c r="C762">
        <f t="shared" si="81"/>
        <v>-0.86863151443819131</v>
      </c>
      <c r="D762">
        <f t="shared" si="83"/>
        <v>0.49545866843240738</v>
      </c>
      <c r="E762">
        <f t="shared" si="84"/>
        <v>0.44150585279174503</v>
      </c>
      <c r="F762">
        <f t="shared" si="82"/>
        <v>25715382765.301266</v>
      </c>
    </row>
    <row r="763" spans="1:6" x14ac:dyDescent="0.2">
      <c r="A763">
        <f t="shared" si="79"/>
        <v>150.5</v>
      </c>
      <c r="B763">
        <f t="shared" si="80"/>
        <v>2.626720524251466</v>
      </c>
      <c r="C763">
        <f t="shared" si="81"/>
        <v>-0.8703556959398997</v>
      </c>
      <c r="D763">
        <f t="shared" si="83"/>
        <v>0.49242356010346716</v>
      </c>
      <c r="E763">
        <f t="shared" si="84"/>
        <v>0.4383711467890774</v>
      </c>
      <c r="F763">
        <f t="shared" si="82"/>
        <v>21691035350.1805</v>
      </c>
    </row>
    <row r="764" spans="1:6" x14ac:dyDescent="0.2">
      <c r="A764">
        <f t="shared" si="79"/>
        <v>150.69999999999999</v>
      </c>
      <c r="B764">
        <f t="shared" si="80"/>
        <v>2.6302111827554544</v>
      </c>
      <c r="C764">
        <f t="shared" si="81"/>
        <v>-0.87206927243212051</v>
      </c>
      <c r="D764">
        <f t="shared" si="83"/>
        <v>0.48938245174884648</v>
      </c>
      <c r="E764">
        <f t="shared" si="84"/>
        <v>0.43523109937232773</v>
      </c>
      <c r="F764">
        <f t="shared" si="82"/>
        <v>18291175928.4631</v>
      </c>
    </row>
    <row r="765" spans="1:6" x14ac:dyDescent="0.2">
      <c r="A765">
        <f t="shared" si="79"/>
        <v>150.89999999999998</v>
      </c>
      <c r="B765">
        <f t="shared" si="80"/>
        <v>2.6337018412594428</v>
      </c>
      <c r="C765">
        <f t="shared" si="81"/>
        <v>-0.87377222303546498</v>
      </c>
      <c r="D765">
        <f t="shared" si="83"/>
        <v>0.48633538042349095</v>
      </c>
      <c r="E765">
        <f t="shared" si="84"/>
        <v>0.43208574880198275</v>
      </c>
      <c r="F765">
        <f t="shared" si="82"/>
        <v>15419771194.165007</v>
      </c>
    </row>
    <row r="766" spans="1:6" x14ac:dyDescent="0.2">
      <c r="A766">
        <f t="shared" si="79"/>
        <v>151.09999999999997</v>
      </c>
      <c r="B766">
        <f t="shared" si="80"/>
        <v>2.6371924997634313</v>
      </c>
      <c r="C766">
        <f t="shared" si="81"/>
        <v>-0.87546452700001753</v>
      </c>
      <c r="D766">
        <f t="shared" si="83"/>
        <v>0.483282383255003</v>
      </c>
      <c r="E766">
        <f t="shared" si="84"/>
        <v>0.42893513340314648</v>
      </c>
      <c r="F766">
        <f t="shared" si="82"/>
        <v>12995413222.961578</v>
      </c>
    </row>
    <row r="767" spans="1:6" x14ac:dyDescent="0.2">
      <c r="A767">
        <f t="shared" si="79"/>
        <v>151.29999999999995</v>
      </c>
      <c r="B767">
        <f t="shared" si="80"/>
        <v>2.6406831582674197</v>
      </c>
      <c r="C767">
        <f t="shared" si="81"/>
        <v>-0.87714616370558829</v>
      </c>
      <c r="D767">
        <f t="shared" si="83"/>
        <v>0.48022349744318971</v>
      </c>
      <c r="E767">
        <f t="shared" si="84"/>
        <v>0.42577929156507344</v>
      </c>
      <c r="F767">
        <f t="shared" si="82"/>
        <v>10949115178.408957</v>
      </c>
    </row>
    <row r="768" spans="1:6" x14ac:dyDescent="0.2">
      <c r="A768">
        <f t="shared" si="79"/>
        <v>151.49999999999994</v>
      </c>
      <c r="B768">
        <f t="shared" si="80"/>
        <v>2.6441738167714082</v>
      </c>
      <c r="C768">
        <f t="shared" si="81"/>
        <v>-0.87881711266196483</v>
      </c>
      <c r="D768">
        <f t="shared" si="83"/>
        <v>0.4771587602596094</v>
      </c>
      <c r="E768">
        <f t="shared" si="84"/>
        <v>0.42261826174070038</v>
      </c>
      <c r="F768">
        <f t="shared" si="82"/>
        <v>9222435539.5746593</v>
      </c>
    </row>
    <row r="769" spans="1:6" x14ac:dyDescent="0.2">
      <c r="A769">
        <f t="shared" si="79"/>
        <v>151.69999999999993</v>
      </c>
      <c r="B769">
        <f t="shared" si="80"/>
        <v>2.6476644752753966</v>
      </c>
      <c r="C769">
        <f t="shared" si="81"/>
        <v>-0.88047735350916134</v>
      </c>
      <c r="D769">
        <f t="shared" si="83"/>
        <v>0.47408820904711746</v>
      </c>
      <c r="E769">
        <f t="shared" si="84"/>
        <v>0.41945208244617832</v>
      </c>
      <c r="F769">
        <f t="shared" si="82"/>
        <v>7765882477.0135641</v>
      </c>
    </row>
    <row r="770" spans="1:6" x14ac:dyDescent="0.2">
      <c r="A770">
        <f t="shared" si="79"/>
        <v>151.89999999999992</v>
      </c>
      <c r="B770">
        <f t="shared" si="80"/>
        <v>2.6511551337793851</v>
      </c>
      <c r="C770">
        <f t="shared" si="81"/>
        <v>-0.88212686601766699</v>
      </c>
      <c r="D770">
        <f t="shared" si="83"/>
        <v>0.4710118812194114</v>
      </c>
      <c r="E770">
        <f t="shared" si="84"/>
        <v>0.4162807922604026</v>
      </c>
      <c r="F770">
        <f t="shared" si="82"/>
        <v>6537557033.9888124</v>
      </c>
    </row>
    <row r="771" spans="1:6" x14ac:dyDescent="0.2">
      <c r="A771">
        <f t="shared" si="79"/>
        <v>152.09999999999991</v>
      </c>
      <c r="B771">
        <f t="shared" si="80"/>
        <v>2.6546457922833735</v>
      </c>
      <c r="C771">
        <f t="shared" si="81"/>
        <v>-0.88376563008869258</v>
      </c>
      <c r="D771">
        <f t="shared" si="83"/>
        <v>0.46792981426057495</v>
      </c>
      <c r="E771">
        <f t="shared" si="84"/>
        <v>0.41310442982454337</v>
      </c>
      <c r="F771">
        <f t="shared" si="82"/>
        <v>5501999792.6046534</v>
      </c>
    </row>
    <row r="772" spans="1:6" x14ac:dyDescent="0.2">
      <c r="A772">
        <f t="shared" si="79"/>
        <v>152.2999999999999</v>
      </c>
      <c r="B772">
        <f t="shared" si="80"/>
        <v>2.6581364507873624</v>
      </c>
      <c r="C772">
        <f t="shared" si="81"/>
        <v>-0.88539362575441516</v>
      </c>
      <c r="D772">
        <f t="shared" si="83"/>
        <v>0.46484204572462101</v>
      </c>
      <c r="E772">
        <f t="shared" si="84"/>
        <v>0.40992303384157414</v>
      </c>
      <c r="F772">
        <f t="shared" si="82"/>
        <v>4629210862.1582727</v>
      </c>
    </row>
    <row r="773" spans="1:6" x14ac:dyDescent="0.2">
      <c r="A773">
        <f t="shared" si="79"/>
        <v>152.49999999999989</v>
      </c>
      <c r="B773">
        <f t="shared" si="80"/>
        <v>2.6616271092913504</v>
      </c>
      <c r="C773">
        <f t="shared" si="81"/>
        <v>-0.88701083317822071</v>
      </c>
      <c r="D773">
        <f t="shared" si="83"/>
        <v>0.46174861323503591</v>
      </c>
      <c r="E773">
        <f t="shared" si="84"/>
        <v>0.40673664307580221</v>
      </c>
      <c r="F773">
        <f t="shared" si="82"/>
        <v>3893817441.9121675</v>
      </c>
    </row>
    <row r="774" spans="1:6" x14ac:dyDescent="0.2">
      <c r="A774">
        <f t="shared" si="79"/>
        <v>152.69999999999987</v>
      </c>
      <c r="B774">
        <f t="shared" si="80"/>
        <v>2.6651177677953388</v>
      </c>
      <c r="C774">
        <f t="shared" si="81"/>
        <v>-0.88861723265494774</v>
      </c>
      <c r="D774">
        <f t="shared" si="83"/>
        <v>0.4586495544843171</v>
      </c>
      <c r="E774">
        <f t="shared" si="84"/>
        <v>0.40354529635239222</v>
      </c>
      <c r="F774">
        <f t="shared" si="82"/>
        <v>3274366987.9799232</v>
      </c>
    </row>
    <row r="775" spans="1:6" x14ac:dyDescent="0.2">
      <c r="A775">
        <f t="shared" si="79"/>
        <v>152.89999999999986</v>
      </c>
      <c r="B775">
        <f t="shared" si="80"/>
        <v>2.6686084262993273</v>
      </c>
      <c r="C775">
        <f t="shared" si="81"/>
        <v>-0.89021280461112529</v>
      </c>
      <c r="D775">
        <f t="shared" si="83"/>
        <v>0.45554490723351793</v>
      </c>
      <c r="E775">
        <f t="shared" si="84"/>
        <v>0.40034903255689741</v>
      </c>
      <c r="F775">
        <f t="shared" si="82"/>
        <v>2752727244.7772832</v>
      </c>
    </row>
    <row r="776" spans="1:6" x14ac:dyDescent="0.2">
      <c r="A776">
        <f t="shared" si="79"/>
        <v>153.09999999999985</v>
      </c>
      <c r="B776">
        <f t="shared" si="80"/>
        <v>2.6720990848033161</v>
      </c>
      <c r="C776">
        <f t="shared" si="81"/>
        <v>-0.89179752960521297</v>
      </c>
      <c r="D776">
        <f t="shared" si="83"/>
        <v>0.45243470931178487</v>
      </c>
      <c r="E776">
        <f t="shared" si="84"/>
        <v>0.39714789063478284</v>
      </c>
      <c r="F776">
        <f t="shared" si="82"/>
        <v>2313577163.4697781</v>
      </c>
    </row>
    <row r="777" spans="1:6" x14ac:dyDescent="0.2">
      <c r="A777">
        <f t="shared" si="79"/>
        <v>153.29999999999984</v>
      </c>
      <c r="B777">
        <f t="shared" si="80"/>
        <v>2.6755897433073046</v>
      </c>
      <c r="C777">
        <f t="shared" si="81"/>
        <v>-0.89337138832783636</v>
      </c>
      <c r="D777">
        <f t="shared" si="83"/>
        <v>0.44931899861589897</v>
      </c>
      <c r="E777">
        <f t="shared" si="84"/>
        <v>0.39394190959095354</v>
      </c>
      <c r="F777">
        <f t="shared" si="82"/>
        <v>1943975090.1014733</v>
      </c>
    </row>
    <row r="778" spans="1:6" x14ac:dyDescent="0.2">
      <c r="A778">
        <f t="shared" ref="A778:A836" si="85">A777+0.2</f>
        <v>153.49999999999983</v>
      </c>
      <c r="B778">
        <f t="shared" si="80"/>
        <v>2.6790804018112926</v>
      </c>
      <c r="C778">
        <f t="shared" si="81"/>
        <v>-0.89493436160202355</v>
      </c>
      <c r="D778">
        <f t="shared" si="83"/>
        <v>0.44619781310981177</v>
      </c>
      <c r="E778">
        <f t="shared" si="84"/>
        <v>0.39073112848927677</v>
      </c>
      <c r="F778">
        <f t="shared" si="82"/>
        <v>1632992622.195612</v>
      </c>
    </row>
    <row r="779" spans="1:6" x14ac:dyDescent="0.2">
      <c r="A779">
        <f t="shared" si="85"/>
        <v>153.69999999999982</v>
      </c>
      <c r="B779">
        <f t="shared" ref="B779:B842" si="86">A779*PI()/180</f>
        <v>2.682571060315281</v>
      </c>
      <c r="C779">
        <f t="shared" ref="C779:C842" si="87">COS(B779)</f>
        <v>-0.896486430383439</v>
      </c>
      <c r="D779">
        <f t="shared" si="83"/>
        <v>0.44307119082418284</v>
      </c>
      <c r="E779">
        <f t="shared" si="84"/>
        <v>0.38751558645210621</v>
      </c>
      <c r="F779">
        <f t="shared" ref="F779:F842" si="88">EXP(E779*$C$5*$C$6^2/($C$3*$C$2))</f>
        <v>1371404254.0588336</v>
      </c>
    </row>
    <row r="780" spans="1:6" x14ac:dyDescent="0.2">
      <c r="A780">
        <f t="shared" si="85"/>
        <v>153.89999999999981</v>
      </c>
      <c r="B780">
        <f t="shared" si="86"/>
        <v>2.6860617188192699</v>
      </c>
      <c r="C780">
        <f t="shared" si="87"/>
        <v>-0.89802757576061421</v>
      </c>
      <c r="D780">
        <f t="shared" si="83"/>
        <v>0.43993916985591813</v>
      </c>
      <c r="E780">
        <f t="shared" si="84"/>
        <v>0.38429532265980676</v>
      </c>
      <c r="F780">
        <f t="shared" si="88"/>
        <v>1151424400.257879</v>
      </c>
    </row>
    <row r="781" spans="1:6" x14ac:dyDescent="0.2">
      <c r="A781">
        <f t="shared" si="85"/>
        <v>154.0999999999998</v>
      </c>
      <c r="B781">
        <f t="shared" si="86"/>
        <v>2.6895523773232584</v>
      </c>
      <c r="C781">
        <f t="shared" si="87"/>
        <v>-0.89955777895517874</v>
      </c>
      <c r="D781">
        <f t="shared" si="83"/>
        <v>0.43680178836770539</v>
      </c>
      <c r="E781">
        <f t="shared" si="84"/>
        <v>0.38107037635027735</v>
      </c>
      <c r="F781">
        <f t="shared" si="88"/>
        <v>966484640.21350479</v>
      </c>
    </row>
    <row r="782" spans="1:6" x14ac:dyDescent="0.2">
      <c r="A782">
        <f t="shared" si="85"/>
        <v>154.29999999999978</v>
      </c>
      <c r="B782">
        <f t="shared" si="86"/>
        <v>2.6930430358272468</v>
      </c>
      <c r="C782">
        <f t="shared" si="87"/>
        <v>-0.90107702132209</v>
      </c>
      <c r="D782">
        <f t="shared" si="83"/>
        <v>0.43365908458754765</v>
      </c>
      <c r="E782">
        <f t="shared" si="84"/>
        <v>0.37784078681847055</v>
      </c>
      <c r="F782">
        <f t="shared" si="88"/>
        <v>811045095.8269577</v>
      </c>
    </row>
    <row r="783" spans="1:6" x14ac:dyDescent="0.2">
      <c r="A783">
        <f t="shared" si="85"/>
        <v>154.49999999999977</v>
      </c>
      <c r="B783">
        <f t="shared" si="86"/>
        <v>2.6965336943312348</v>
      </c>
      <c r="C783">
        <f t="shared" si="87"/>
        <v>-0.90258528434985874</v>
      </c>
      <c r="D783">
        <f t="shared" si="83"/>
        <v>0.43051109680829913</v>
      </c>
      <c r="E783">
        <f t="shared" si="84"/>
        <v>0.37460659341591607</v>
      </c>
      <c r="F783">
        <f t="shared" si="88"/>
        <v>680434765.31205833</v>
      </c>
    </row>
    <row r="784" spans="1:6" x14ac:dyDescent="0.2">
      <c r="A784">
        <f t="shared" si="85"/>
        <v>154.69999999999976</v>
      </c>
      <c r="B784">
        <f t="shared" si="86"/>
        <v>2.7000243528352237</v>
      </c>
      <c r="C784">
        <f t="shared" si="87"/>
        <v>-0.90408254966077661</v>
      </c>
      <c r="D784">
        <f t="shared" si="83"/>
        <v>0.42735786338719617</v>
      </c>
      <c r="E784">
        <f t="shared" si="84"/>
        <v>0.37136783555023867</v>
      </c>
      <c r="F784">
        <f t="shared" si="88"/>
        <v>570716412.9102453</v>
      </c>
    </row>
    <row r="785" spans="1:6" x14ac:dyDescent="0.2">
      <c r="A785">
        <f t="shared" si="85"/>
        <v>154.89999999999975</v>
      </c>
      <c r="B785">
        <f t="shared" si="86"/>
        <v>2.7035150113392121</v>
      </c>
      <c r="C785">
        <f t="shared" si="87"/>
        <v>-0.90556879901113774</v>
      </c>
      <c r="D785">
        <f t="shared" si="83"/>
        <v>0.42419942274539418</v>
      </c>
      <c r="E785">
        <f t="shared" si="84"/>
        <v>0.36812455268468203</v>
      </c>
      <c r="F785">
        <f t="shared" si="88"/>
        <v>478572275.58601201</v>
      </c>
    </row>
    <row r="786" spans="1:6" x14ac:dyDescent="0.2">
      <c r="A786">
        <f t="shared" si="85"/>
        <v>155.09999999999974</v>
      </c>
      <c r="B786">
        <f t="shared" si="86"/>
        <v>2.7070056698432006</v>
      </c>
      <c r="C786">
        <f t="shared" si="87"/>
        <v>-0.90704401429146297</v>
      </c>
      <c r="D786">
        <f t="shared" si="83"/>
        <v>0.42103581336749518</v>
      </c>
      <c r="E786">
        <f t="shared" si="84"/>
        <v>0.36487678433762394</v>
      </c>
      <c r="F786">
        <f t="shared" si="88"/>
        <v>401207410.96819669</v>
      </c>
    </row>
    <row r="787" spans="1:6" x14ac:dyDescent="0.2">
      <c r="A787">
        <f t="shared" si="85"/>
        <v>155.29999999999973</v>
      </c>
      <c r="B787">
        <f t="shared" si="86"/>
        <v>2.710496328347189</v>
      </c>
      <c r="C787">
        <f t="shared" si="87"/>
        <v>-0.90850817752671975</v>
      </c>
      <c r="D787">
        <f t="shared" si="83"/>
        <v>0.41786707380108112</v>
      </c>
      <c r="E787">
        <f t="shared" si="84"/>
        <v>0.36162457008209681</v>
      </c>
      <c r="F787">
        <f t="shared" si="88"/>
        <v>336267990.13144243</v>
      </c>
    </row>
    <row r="788" spans="1:6" x14ac:dyDescent="0.2">
      <c r="A788">
        <f t="shared" si="85"/>
        <v>155.49999999999972</v>
      </c>
      <c r="B788">
        <f t="shared" si="86"/>
        <v>2.7139869868511775</v>
      </c>
      <c r="C788">
        <f t="shared" si="87"/>
        <v>-0.90996127087654111</v>
      </c>
      <c r="D788">
        <f t="shared" si="83"/>
        <v>0.41469324265624363</v>
      </c>
      <c r="E788">
        <f t="shared" si="84"/>
        <v>0.35836794954530493</v>
      </c>
      <c r="F788">
        <f t="shared" si="88"/>
        <v>281772246.62219656</v>
      </c>
    </row>
    <row r="789" spans="1:6" x14ac:dyDescent="0.2">
      <c r="A789">
        <f t="shared" si="85"/>
        <v>155.6999999999997</v>
      </c>
      <c r="B789">
        <f t="shared" si="86"/>
        <v>2.7174776453551659</v>
      </c>
      <c r="C789">
        <f t="shared" si="87"/>
        <v>-0.91140327663544307</v>
      </c>
      <c r="D789">
        <f t="shared" ref="D789:D852" si="89">SIN(B789)</f>
        <v>0.41151435860511354</v>
      </c>
      <c r="E789">
        <f t="shared" ref="E789:E852" si="90">C789*$E$7+D789*$F$7</f>
        <v>0.35510696240814194</v>
      </c>
      <c r="F789">
        <f t="shared" si="88"/>
        <v>236052139.96589753</v>
      </c>
    </row>
    <row r="790" spans="1:6" x14ac:dyDescent="0.2">
      <c r="A790">
        <f t="shared" si="85"/>
        <v>155.89999999999969</v>
      </c>
      <c r="B790">
        <f t="shared" si="86"/>
        <v>2.7209683038591543</v>
      </c>
      <c r="C790">
        <f t="shared" si="87"/>
        <v>-0.91283417723304061</v>
      </c>
      <c r="D790">
        <f t="shared" si="89"/>
        <v>0.40833046038138993</v>
      </c>
      <c r="E790">
        <f t="shared" si="90"/>
        <v>0.35184164840470694</v>
      </c>
      <c r="F790">
        <f t="shared" si="88"/>
        <v>197704086.75065061</v>
      </c>
    </row>
    <row r="791" spans="1:6" x14ac:dyDescent="0.2">
      <c r="A791">
        <f t="shared" si="85"/>
        <v>156.09999999999968</v>
      </c>
      <c r="B791">
        <f t="shared" si="86"/>
        <v>2.7244589623631428</v>
      </c>
      <c r="C791">
        <f t="shared" si="87"/>
        <v>-0.91425395523426145</v>
      </c>
      <c r="D791">
        <f t="shared" si="89"/>
        <v>0.40514158677986778</v>
      </c>
      <c r="E791">
        <f t="shared" si="90"/>
        <v>0.34857204732182057</v>
      </c>
      <c r="F791">
        <f t="shared" si="88"/>
        <v>165547362.96231467</v>
      </c>
    </row>
    <row r="792" spans="1:6" x14ac:dyDescent="0.2">
      <c r="A792">
        <f t="shared" si="85"/>
        <v>156.29999999999967</v>
      </c>
      <c r="B792">
        <f t="shared" si="86"/>
        <v>2.7279496208671312</v>
      </c>
      <c r="C792">
        <f t="shared" si="87"/>
        <v>-0.91566259333955868</v>
      </c>
      <c r="D792">
        <f t="shared" si="89"/>
        <v>0.40194777665596559</v>
      </c>
      <c r="E792">
        <f t="shared" si="90"/>
        <v>0.3452981989985402</v>
      </c>
      <c r="F792">
        <f t="shared" si="88"/>
        <v>138588994.11594579</v>
      </c>
    </row>
    <row r="793" spans="1:6" x14ac:dyDescent="0.2">
      <c r="A793">
        <f t="shared" si="85"/>
        <v>156.49999999999966</v>
      </c>
      <c r="B793">
        <f t="shared" si="86"/>
        <v>2.7314402793711197</v>
      </c>
      <c r="C793">
        <f t="shared" si="87"/>
        <v>-0.9170600743851216</v>
      </c>
      <c r="D793">
        <f t="shared" si="89"/>
        <v>0.3987490689252518</v>
      </c>
      <c r="E793">
        <f t="shared" si="90"/>
        <v>0.34202014332567443</v>
      </c>
      <c r="F793">
        <f t="shared" si="88"/>
        <v>115994130.4969288</v>
      </c>
    </row>
    <row r="794" spans="1:6" x14ac:dyDescent="0.2">
      <c r="A794">
        <f t="shared" si="85"/>
        <v>156.69999999999965</v>
      </c>
      <c r="B794">
        <f t="shared" si="86"/>
        <v>2.7349309378751081</v>
      </c>
      <c r="C794">
        <f t="shared" si="87"/>
        <v>-0.91844638134308465</v>
      </c>
      <c r="D794">
        <f t="shared" si="89"/>
        <v>0.39554550256297077</v>
      </c>
      <c r="E794">
        <f t="shared" si="90"/>
        <v>0.33873792024529736</v>
      </c>
      <c r="F794">
        <f t="shared" si="88"/>
        <v>97061058.276230261</v>
      </c>
    </row>
    <row r="795" spans="1:6" x14ac:dyDescent="0.2">
      <c r="A795">
        <f t="shared" si="85"/>
        <v>156.89999999999964</v>
      </c>
      <c r="B795">
        <f t="shared" si="86"/>
        <v>2.7384215963790965</v>
      </c>
      <c r="C795">
        <f t="shared" si="87"/>
        <v>-0.91982149732173502</v>
      </c>
      <c r="D795">
        <f t="shared" si="89"/>
        <v>0.39233711660356752</v>
      </c>
      <c r="E795">
        <f t="shared" si="90"/>
        <v>0.33545156975026119</v>
      </c>
      <c r="F795">
        <f t="shared" si="88"/>
        <v>81200127.478610829</v>
      </c>
    </row>
    <row r="796" spans="1:6" x14ac:dyDescent="0.2">
      <c r="A796">
        <f t="shared" si="85"/>
        <v>157.09999999999962</v>
      </c>
      <c r="B796">
        <f t="shared" si="86"/>
        <v>2.741912254883085</v>
      </c>
      <c r="C796">
        <f t="shared" si="87"/>
        <v>-0.9211854055657186</v>
      </c>
      <c r="D796">
        <f t="shared" si="89"/>
        <v>0.3891239501402125</v>
      </c>
      <c r="E796">
        <f t="shared" si="90"/>
        <v>0.33216113188370966</v>
      </c>
      <c r="F796">
        <f t="shared" si="88"/>
        <v>67915988.23889789</v>
      </c>
    </row>
    <row r="797" spans="1:6" x14ac:dyDescent="0.2">
      <c r="A797">
        <f t="shared" si="85"/>
        <v>157.29999999999961</v>
      </c>
      <c r="B797">
        <f t="shared" si="86"/>
        <v>2.7454029133870739</v>
      </c>
      <c r="C797">
        <f t="shared" si="87"/>
        <v>-0.92253808945624383</v>
      </c>
      <c r="D797">
        <f t="shared" si="89"/>
        <v>0.38590604232432468</v>
      </c>
      <c r="E797">
        <f t="shared" si="90"/>
        <v>0.3288666467385894</v>
      </c>
      <c r="F797">
        <f t="shared" si="88"/>
        <v>56792620.443768159</v>
      </c>
    </row>
    <row r="798" spans="1:6" x14ac:dyDescent="0.2">
      <c r="A798">
        <f t="shared" si="85"/>
        <v>157.4999999999996</v>
      </c>
      <c r="B798">
        <f t="shared" si="86"/>
        <v>2.7488935718910623</v>
      </c>
      <c r="C798">
        <f t="shared" si="87"/>
        <v>-0.92387953251128418</v>
      </c>
      <c r="D798">
        <f t="shared" si="89"/>
        <v>0.382683432365096</v>
      </c>
      <c r="E798">
        <f t="shared" si="90"/>
        <v>0.32556815445716297</v>
      </c>
      <c r="F798">
        <f t="shared" si="88"/>
        <v>47480721.250013873</v>
      </c>
    </row>
    <row r="799" spans="1:6" x14ac:dyDescent="0.2">
      <c r="A799">
        <f t="shared" si="85"/>
        <v>157.69999999999959</v>
      </c>
      <c r="B799">
        <f t="shared" si="86"/>
        <v>2.7523842303950503</v>
      </c>
      <c r="C799">
        <f t="shared" si="87"/>
        <v>-0.92520971838577926</v>
      </c>
      <c r="D799">
        <f t="shared" si="89"/>
        <v>0.37945615952901196</v>
      </c>
      <c r="E799">
        <f t="shared" si="90"/>
        <v>0.32226569523051807</v>
      </c>
      <c r="F799">
        <f t="shared" si="88"/>
        <v>39687082.244752169</v>
      </c>
    </row>
    <row r="800" spans="1:6" x14ac:dyDescent="0.2">
      <c r="A800">
        <f t="shared" si="85"/>
        <v>157.89999999999958</v>
      </c>
      <c r="B800">
        <f t="shared" si="86"/>
        <v>2.7558748888990388</v>
      </c>
      <c r="C800">
        <f t="shared" si="87"/>
        <v>-0.92652863087183446</v>
      </c>
      <c r="D800">
        <f t="shared" si="89"/>
        <v>0.37622426313937268</v>
      </c>
      <c r="E800">
        <f t="shared" si="90"/>
        <v>0.3189593092980772</v>
      </c>
      <c r="F800">
        <f t="shared" si="88"/>
        <v>33165644.998469256</v>
      </c>
    </row>
    <row r="801" spans="1:6" x14ac:dyDescent="0.2">
      <c r="A801">
        <f t="shared" si="85"/>
        <v>158.09999999999957</v>
      </c>
      <c r="B801">
        <f t="shared" si="86"/>
        <v>2.7593655474030276</v>
      </c>
      <c r="C801">
        <f t="shared" si="87"/>
        <v>-0.92783625389891722</v>
      </c>
      <c r="D801">
        <f t="shared" si="89"/>
        <v>0.37298778257581577</v>
      </c>
      <c r="E801">
        <f t="shared" si="90"/>
        <v>0.31564903694710944</v>
      </c>
      <c r="F801">
        <f t="shared" si="88"/>
        <v>27709972.014839508</v>
      </c>
    </row>
    <row r="802" spans="1:6" x14ac:dyDescent="0.2">
      <c r="A802">
        <f t="shared" si="85"/>
        <v>158.29999999999956</v>
      </c>
      <c r="B802">
        <f t="shared" si="86"/>
        <v>2.7628562059070161</v>
      </c>
      <c r="C802">
        <f t="shared" si="87"/>
        <v>-0.92913257153405326</v>
      </c>
      <c r="D802">
        <f t="shared" si="89"/>
        <v>0.36974675727383638</v>
      </c>
      <c r="E802">
        <f t="shared" si="90"/>
        <v>0.31233491851223977</v>
      </c>
      <c r="F802">
        <f t="shared" si="88"/>
        <v>23146910.925964061</v>
      </c>
    </row>
    <row r="803" spans="1:6" x14ac:dyDescent="0.2">
      <c r="A803">
        <f t="shared" si="85"/>
        <v>158.49999999999955</v>
      </c>
      <c r="B803">
        <f t="shared" si="86"/>
        <v>2.7663468644110045</v>
      </c>
      <c r="C803">
        <f t="shared" si="87"/>
        <v>-0.93041756798202169</v>
      </c>
      <c r="D803">
        <f t="shared" si="89"/>
        <v>0.36650122672430457</v>
      </c>
      <c r="E803">
        <f t="shared" si="90"/>
        <v>0.30901699437495483</v>
      </c>
      <c r="F803">
        <f t="shared" si="88"/>
        <v>19331264.343598422</v>
      </c>
    </row>
    <row r="804" spans="1:6" x14ac:dyDescent="0.2">
      <c r="A804">
        <f t="shared" si="85"/>
        <v>158.69999999999953</v>
      </c>
      <c r="B804">
        <f t="shared" si="86"/>
        <v>2.7698375229149925</v>
      </c>
      <c r="C804">
        <f t="shared" si="87"/>
        <v>-0.9316912275855459</v>
      </c>
      <c r="D804">
        <f t="shared" si="89"/>
        <v>0.3632512304729863</v>
      </c>
      <c r="E804">
        <f t="shared" si="90"/>
        <v>0.30569530496311381</v>
      </c>
      <c r="F804">
        <f t="shared" si="88"/>
        <v>16141307.012504855</v>
      </c>
    </row>
    <row r="805" spans="1:6" x14ac:dyDescent="0.2">
      <c r="A805">
        <f t="shared" si="85"/>
        <v>158.89999999999952</v>
      </c>
      <c r="B805">
        <f t="shared" si="86"/>
        <v>2.7733281814189814</v>
      </c>
      <c r="C805">
        <f t="shared" si="87"/>
        <v>-0.93295353482548604</v>
      </c>
      <c r="D805">
        <f t="shared" si="89"/>
        <v>0.35999680812005896</v>
      </c>
      <c r="E805">
        <f t="shared" si="90"/>
        <v>0.3023698907504524</v>
      </c>
      <c r="F805">
        <f t="shared" si="88"/>
        <v>13475016.633744098</v>
      </c>
    </row>
    <row r="806" spans="1:6" x14ac:dyDescent="0.2">
      <c r="A806">
        <f t="shared" si="85"/>
        <v>159.09999999999951</v>
      </c>
      <c r="B806">
        <f t="shared" si="86"/>
        <v>2.7768188399229699</v>
      </c>
      <c r="C806">
        <f t="shared" si="87"/>
        <v>-0.93420447432102649</v>
      </c>
      <c r="D806">
        <f t="shared" si="89"/>
        <v>0.35673799931963313</v>
      </c>
      <c r="E806">
        <f t="shared" si="90"/>
        <v>0.29904079225609476</v>
      </c>
      <c r="F806">
        <f t="shared" si="88"/>
        <v>11246905.62351474</v>
      </c>
    </row>
    <row r="807" spans="1:6" x14ac:dyDescent="0.2">
      <c r="A807">
        <f t="shared" si="85"/>
        <v>159.2999999999995</v>
      </c>
      <c r="B807">
        <f t="shared" si="86"/>
        <v>2.7803094984269583</v>
      </c>
      <c r="C807">
        <f t="shared" si="87"/>
        <v>-0.93544403082986427</v>
      </c>
      <c r="D807">
        <f t="shared" si="89"/>
        <v>0.3534748437792653</v>
      </c>
      <c r="E807">
        <f t="shared" si="90"/>
        <v>0.29570805004405504</v>
      </c>
      <c r="F807">
        <f t="shared" si="88"/>
        <v>9385358.7325465605</v>
      </c>
    </row>
    <row r="808" spans="1:6" x14ac:dyDescent="0.2">
      <c r="A808">
        <f t="shared" si="85"/>
        <v>159.49999999999949</v>
      </c>
      <c r="B808">
        <f t="shared" si="86"/>
        <v>2.7838001569309467</v>
      </c>
      <c r="C808">
        <f t="shared" si="87"/>
        <v>-0.93667218924839446</v>
      </c>
      <c r="D808">
        <f t="shared" si="89"/>
        <v>0.35020738125947581</v>
      </c>
      <c r="E808">
        <f t="shared" si="90"/>
        <v>0.29237170472274526</v>
      </c>
      <c r="F808">
        <f t="shared" si="88"/>
        <v>7830396.3690731721</v>
      </c>
    </row>
    <row r="809" spans="1:6" x14ac:dyDescent="0.2">
      <c r="A809">
        <f t="shared" si="85"/>
        <v>159.69999999999948</v>
      </c>
      <c r="B809">
        <f t="shared" si="86"/>
        <v>2.7872908154349352</v>
      </c>
      <c r="C809">
        <f t="shared" si="87"/>
        <v>-0.93788893461189449</v>
      </c>
      <c r="D809">
        <f t="shared" si="89"/>
        <v>0.34693565157326445</v>
      </c>
      <c r="E809">
        <f t="shared" si="90"/>
        <v>0.28903179694448033</v>
      </c>
      <c r="F809">
        <f t="shared" si="88"/>
        <v>6531796.0663978066</v>
      </c>
    </row>
    <row r="810" spans="1:6" x14ac:dyDescent="0.2">
      <c r="A810">
        <f t="shared" si="85"/>
        <v>159.89999999999947</v>
      </c>
      <c r="B810">
        <f t="shared" si="86"/>
        <v>2.7907814739389236</v>
      </c>
      <c r="C810">
        <f t="shared" si="87"/>
        <v>-0.93909425209470587</v>
      </c>
      <c r="D810">
        <f t="shared" si="89"/>
        <v>0.34365969458562484</v>
      </c>
      <c r="E810">
        <f t="shared" si="90"/>
        <v>0.28568836740498249</v>
      </c>
      <c r="F810">
        <f t="shared" si="88"/>
        <v>5447515.1714430386</v>
      </c>
    </row>
    <row r="811" spans="1:6" x14ac:dyDescent="0.2">
      <c r="A811">
        <f t="shared" si="85"/>
        <v>160.09999999999945</v>
      </c>
      <c r="B811">
        <f t="shared" si="86"/>
        <v>2.7942721324429121</v>
      </c>
      <c r="C811">
        <f t="shared" si="87"/>
        <v>-0.94028812701041564</v>
      </c>
      <c r="D811">
        <f t="shared" si="89"/>
        <v>0.34037955021305916</v>
      </c>
      <c r="E811">
        <f t="shared" si="90"/>
        <v>0.28234145684288564</v>
      </c>
      <c r="F811">
        <f t="shared" si="88"/>
        <v>4542366.8062742567</v>
      </c>
    </row>
    <row r="812" spans="1:6" x14ac:dyDescent="0.2">
      <c r="A812">
        <f t="shared" si="85"/>
        <v>160.29999999999944</v>
      </c>
      <c r="B812">
        <f t="shared" si="86"/>
        <v>2.7977627909469005</v>
      </c>
      <c r="C812">
        <f t="shared" si="87"/>
        <v>-0.94147054481203463</v>
      </c>
      <c r="D812">
        <f t="shared" si="89"/>
        <v>0.33709525842309129</v>
      </c>
      <c r="E812">
        <f t="shared" si="90"/>
        <v>0.2789911060392386</v>
      </c>
      <c r="F812">
        <f t="shared" si="88"/>
        <v>3786908.727027345</v>
      </c>
    </row>
    <row r="813" spans="1:6" x14ac:dyDescent="0.2">
      <c r="A813">
        <f t="shared" si="85"/>
        <v>160.49999999999943</v>
      </c>
      <c r="B813">
        <f t="shared" si="86"/>
        <v>2.8012534494508889</v>
      </c>
      <c r="C813">
        <f t="shared" si="87"/>
        <v>-0.9426414910921751</v>
      </c>
      <c r="D813">
        <f t="shared" si="89"/>
        <v>0.3338068592337804</v>
      </c>
      <c r="E813">
        <f t="shared" si="90"/>
        <v>0.27563735581700882</v>
      </c>
      <c r="F813">
        <f t="shared" si="88"/>
        <v>3156511.0912889577</v>
      </c>
    </row>
    <row r="814" spans="1:6" x14ac:dyDescent="0.2">
      <c r="A814">
        <f t="shared" si="85"/>
        <v>160.69999999999942</v>
      </c>
      <c r="B814">
        <f t="shared" si="86"/>
        <v>2.8047441079548774</v>
      </c>
      <c r="C814">
        <f t="shared" si="87"/>
        <v>-0.94380095158322608</v>
      </c>
      <c r="D814">
        <f t="shared" si="89"/>
        <v>0.33051439271323269</v>
      </c>
      <c r="E814">
        <f t="shared" si="90"/>
        <v>0.27228024704058418</v>
      </c>
      <c r="F814">
        <f t="shared" si="88"/>
        <v>2630574.5297788214</v>
      </c>
    </row>
    <row r="815" spans="1:6" x14ac:dyDescent="0.2">
      <c r="A815">
        <f t="shared" si="85"/>
        <v>160.89999999999941</v>
      </c>
      <c r="B815">
        <f t="shared" si="86"/>
        <v>2.8082347664588658</v>
      </c>
      <c r="C815">
        <f t="shared" si="87"/>
        <v>-0.94494891215752741</v>
      </c>
      <c r="D815">
        <f t="shared" si="89"/>
        <v>0.3272178989791138</v>
      </c>
      <c r="E815">
        <f t="shared" si="90"/>
        <v>0.26891982061527575</v>
      </c>
      <c r="F815">
        <f t="shared" si="88"/>
        <v>2191874.4569055894</v>
      </c>
    </row>
    <row r="816" spans="1:6" x14ac:dyDescent="0.2">
      <c r="A816">
        <f t="shared" si="85"/>
        <v>161.0999999999994</v>
      </c>
      <c r="B816">
        <f t="shared" si="86"/>
        <v>2.8117254249628543</v>
      </c>
      <c r="C816">
        <f t="shared" si="87"/>
        <v>-0.94608535882754186</v>
      </c>
      <c r="D816">
        <f t="shared" si="89"/>
        <v>0.3239174181981595</v>
      </c>
      <c r="E816">
        <f t="shared" si="90"/>
        <v>0.26555611748681907</v>
      </c>
      <c r="F816">
        <f t="shared" si="88"/>
        <v>1826011.3791668261</v>
      </c>
    </row>
    <row r="817" spans="1:6" x14ac:dyDescent="0.2">
      <c r="A817">
        <f t="shared" si="85"/>
        <v>161.29999999999939</v>
      </c>
      <c r="B817">
        <f t="shared" si="86"/>
        <v>2.8152160834668427</v>
      </c>
      <c r="C817">
        <f t="shared" si="87"/>
        <v>-0.94721027774602529</v>
      </c>
      <c r="D817">
        <f t="shared" si="89"/>
        <v>0.3206129905856866</v>
      </c>
      <c r="E817">
        <f t="shared" si="90"/>
        <v>0.26218917864087521</v>
      </c>
      <c r="F817">
        <f t="shared" si="88"/>
        <v>1520950.1818826851</v>
      </c>
    </row>
    <row r="818" spans="1:6" x14ac:dyDescent="0.2">
      <c r="A818">
        <f t="shared" si="85"/>
        <v>161.49999999999937</v>
      </c>
      <c r="B818">
        <f t="shared" si="86"/>
        <v>2.8187067419708312</v>
      </c>
      <c r="C818">
        <f t="shared" si="87"/>
        <v>-0.94832365520619577</v>
      </c>
      <c r="D818">
        <f t="shared" si="89"/>
        <v>0.31730465640510269</v>
      </c>
      <c r="E818">
        <f t="shared" si="90"/>
        <v>0.25881904510253145</v>
      </c>
      <c r="F818">
        <f t="shared" si="88"/>
        <v>1266634.087604515</v>
      </c>
    </row>
    <row r="819" spans="1:6" x14ac:dyDescent="0.2">
      <c r="A819">
        <f t="shared" si="85"/>
        <v>161.69999999999936</v>
      </c>
      <c r="B819">
        <f t="shared" si="86"/>
        <v>2.82219740047482</v>
      </c>
      <c r="C819">
        <f t="shared" si="87"/>
        <v>-0.94942547764190044</v>
      </c>
      <c r="D819">
        <f t="shared" si="89"/>
        <v>0.31399245596741526</v>
      </c>
      <c r="E819">
        <f t="shared" si="90"/>
        <v>0.25544575793580104</v>
      </c>
      <c r="F819">
        <f t="shared" si="88"/>
        <v>1054661.2633570845</v>
      </c>
    </row>
    <row r="820" spans="1:6" x14ac:dyDescent="0.2">
      <c r="A820">
        <f t="shared" si="85"/>
        <v>161.89999999999935</v>
      </c>
      <c r="B820">
        <f t="shared" si="86"/>
        <v>2.825688058978808</v>
      </c>
      <c r="C820">
        <f t="shared" si="87"/>
        <v>-0.95051573162778014</v>
      </c>
      <c r="D820">
        <f t="shared" si="89"/>
        <v>0.31067642963074277</v>
      </c>
      <c r="E820">
        <f t="shared" si="90"/>
        <v>0.25206935824312482</v>
      </c>
      <c r="F820">
        <f t="shared" si="88"/>
        <v>878013.97593533655</v>
      </c>
    </row>
    <row r="821" spans="1:6" x14ac:dyDescent="0.2">
      <c r="A821">
        <f t="shared" si="85"/>
        <v>162.09999999999934</v>
      </c>
      <c r="B821">
        <f t="shared" si="86"/>
        <v>2.8291787174827965</v>
      </c>
      <c r="C821">
        <f t="shared" si="87"/>
        <v>-0.95159440387943461</v>
      </c>
      <c r="D821">
        <f t="shared" si="89"/>
        <v>0.30735661779981827</v>
      </c>
      <c r="E821">
        <f t="shared" si="90"/>
        <v>0.24868988716486617</v>
      </c>
      <c r="F821">
        <f t="shared" si="88"/>
        <v>730831.81160700216</v>
      </c>
    </row>
    <row r="822" spans="1:6" x14ac:dyDescent="0.2">
      <c r="A822">
        <f t="shared" si="85"/>
        <v>162.29999999999933</v>
      </c>
      <c r="B822">
        <f t="shared" si="86"/>
        <v>2.8326693759867849</v>
      </c>
      <c r="C822">
        <f t="shared" si="87"/>
        <v>-0.95266148125358263</v>
      </c>
      <c r="D822">
        <f t="shared" si="89"/>
        <v>0.3040330609255017</v>
      </c>
      <c r="E822">
        <f t="shared" si="90"/>
        <v>0.24530738587881418</v>
      </c>
      <c r="F822">
        <f t="shared" si="88"/>
        <v>608221.83675348689</v>
      </c>
    </row>
    <row r="823" spans="1:6" x14ac:dyDescent="0.2">
      <c r="A823">
        <f t="shared" si="85"/>
        <v>162.49999999999932</v>
      </c>
      <c r="B823">
        <f t="shared" si="86"/>
        <v>2.8361600344907738</v>
      </c>
      <c r="C823">
        <f t="shared" si="87"/>
        <v>-0.95371695074822338</v>
      </c>
      <c r="D823">
        <f t="shared" si="89"/>
        <v>0.30070579950428433</v>
      </c>
      <c r="E823">
        <f t="shared" si="90"/>
        <v>0.24192189559967914</v>
      </c>
      <c r="F823">
        <f t="shared" si="88"/>
        <v>506099.71970416018</v>
      </c>
    </row>
    <row r="824" spans="1:6" x14ac:dyDescent="0.2">
      <c r="A824">
        <f t="shared" si="85"/>
        <v>162.69999999999931</v>
      </c>
      <c r="B824">
        <f t="shared" si="86"/>
        <v>2.8396506929947622</v>
      </c>
      <c r="C824">
        <f t="shared" si="87"/>
        <v>-0.95476079950279391</v>
      </c>
      <c r="D824">
        <f t="shared" si="89"/>
        <v>0.29737487407779739</v>
      </c>
      <c r="E824">
        <f t="shared" si="90"/>
        <v>0.23853345757859246</v>
      </c>
      <c r="F824">
        <f t="shared" si="88"/>
        <v>421056.79546047427</v>
      </c>
    </row>
    <row r="825" spans="1:6" x14ac:dyDescent="0.2">
      <c r="A825">
        <f t="shared" si="85"/>
        <v>162.8999999999993</v>
      </c>
      <c r="B825">
        <f t="shared" si="86"/>
        <v>2.8431413514987502</v>
      </c>
      <c r="C825">
        <f t="shared" si="87"/>
        <v>-0.95579301479832646</v>
      </c>
      <c r="D825">
        <f t="shared" si="89"/>
        <v>0.29404032523231605</v>
      </c>
      <c r="E825">
        <f t="shared" si="90"/>
        <v>0.23514211310260227</v>
      </c>
      <c r="F825">
        <f t="shared" si="88"/>
        <v>350248.86298264831</v>
      </c>
    </row>
    <row r="826" spans="1:6" x14ac:dyDescent="0.2">
      <c r="A826">
        <f t="shared" si="85"/>
        <v>163.09999999999928</v>
      </c>
      <c r="B826">
        <f t="shared" si="86"/>
        <v>2.8466320100027391</v>
      </c>
      <c r="C826">
        <f t="shared" si="87"/>
        <v>-0.95681358405760375</v>
      </c>
      <c r="D826">
        <f t="shared" si="89"/>
        <v>0.29070219359826432</v>
      </c>
      <c r="E826">
        <f t="shared" si="90"/>
        <v>0.23174790349416938</v>
      </c>
      <c r="F826">
        <f t="shared" si="88"/>
        <v>291303.18353107909</v>
      </c>
    </row>
    <row r="827" spans="1:6" x14ac:dyDescent="0.2">
      <c r="A827">
        <f t="shared" si="85"/>
        <v>163.29999999999927</v>
      </c>
      <c r="B827">
        <f t="shared" si="86"/>
        <v>2.8501226685067276</v>
      </c>
      <c r="C827">
        <f t="shared" si="87"/>
        <v>-0.95782249484531123</v>
      </c>
      <c r="D827">
        <f t="shared" si="89"/>
        <v>0.28736051984972411</v>
      </c>
      <c r="E827">
        <f t="shared" si="90"/>
        <v>0.22835087011066804</v>
      </c>
      <c r="F827">
        <f t="shared" si="88"/>
        <v>242240.71870243113</v>
      </c>
    </row>
    <row r="828" spans="1:6" x14ac:dyDescent="0.2">
      <c r="A828">
        <f t="shared" si="85"/>
        <v>163.49999999999926</v>
      </c>
      <c r="B828">
        <f t="shared" si="86"/>
        <v>2.8536133270107156</v>
      </c>
      <c r="C828">
        <f t="shared" si="87"/>
        <v>-0.95881973486818928</v>
      </c>
      <c r="D828">
        <f t="shared" si="89"/>
        <v>0.28401534470393536</v>
      </c>
      <c r="E828">
        <f t="shared" si="90"/>
        <v>0.22495105434387794</v>
      </c>
      <c r="F828">
        <f t="shared" si="88"/>
        <v>201411.12554159565</v>
      </c>
    </row>
    <row r="829" spans="1:6" x14ac:dyDescent="0.2">
      <c r="A829">
        <f t="shared" si="85"/>
        <v>163.69999999999925</v>
      </c>
      <c r="B829">
        <f t="shared" si="86"/>
        <v>2.857103985514704</v>
      </c>
      <c r="C829">
        <f t="shared" si="87"/>
        <v>-0.95980529197518316</v>
      </c>
      <c r="D829">
        <f t="shared" si="89"/>
        <v>0.28066670892080076</v>
      </c>
      <c r="E829">
        <f t="shared" si="90"/>
        <v>0.22154849761948042</v>
      </c>
      <c r="F829">
        <f t="shared" si="88"/>
        <v>167438.42799064258</v>
      </c>
    </row>
    <row r="830" spans="1:6" x14ac:dyDescent="0.2">
      <c r="A830">
        <f t="shared" si="85"/>
        <v>163.89999999999924</v>
      </c>
      <c r="B830">
        <f t="shared" si="86"/>
        <v>2.8605946440186925</v>
      </c>
      <c r="C830">
        <f t="shared" si="87"/>
        <v>-0.9607791541575903</v>
      </c>
      <c r="D830">
        <f t="shared" si="89"/>
        <v>0.27731465330239097</v>
      </c>
      <c r="E830">
        <f t="shared" si="90"/>
        <v>0.21814324139655594</v>
      </c>
      <c r="F830">
        <f t="shared" si="88"/>
        <v>139175.6212015966</v>
      </c>
    </row>
    <row r="831" spans="1:6" x14ac:dyDescent="0.2">
      <c r="A831">
        <f t="shared" si="85"/>
        <v>164.09999999999923</v>
      </c>
      <c r="B831">
        <f t="shared" si="86"/>
        <v>2.8640853025226813</v>
      </c>
      <c r="C831">
        <f t="shared" si="87"/>
        <v>-0.96174130954920767</v>
      </c>
      <c r="D831">
        <f t="shared" si="89"/>
        <v>0.27395921869244544</v>
      </c>
      <c r="E831">
        <f t="shared" si="90"/>
        <v>0.21473532716707633</v>
      </c>
      <c r="F831">
        <f t="shared" si="88"/>
        <v>115666.7482050929</v>
      </c>
    </row>
    <row r="832" spans="1:6" x14ac:dyDescent="0.2">
      <c r="A832">
        <f t="shared" si="85"/>
        <v>164.29999999999922</v>
      </c>
      <c r="B832">
        <f t="shared" si="86"/>
        <v>2.8675759610266698</v>
      </c>
      <c r="C832">
        <f t="shared" si="87"/>
        <v>-0.96269174642647504</v>
      </c>
      <c r="D832">
        <f t="shared" si="89"/>
        <v>0.27060044597587685</v>
      </c>
      <c r="E832">
        <f t="shared" si="90"/>
        <v>0.21132479645540206</v>
      </c>
      <c r="F832">
        <f t="shared" si="88"/>
        <v>96115.225770841222</v>
      </c>
    </row>
    <row r="833" spans="1:6" x14ac:dyDescent="0.2">
      <c r="A833">
        <f t="shared" si="85"/>
        <v>164.4999999999992</v>
      </c>
      <c r="B833">
        <f t="shared" si="86"/>
        <v>2.8710666195306582</v>
      </c>
      <c r="C833">
        <f t="shared" si="87"/>
        <v>-0.96363045320861929</v>
      </c>
      <c r="D833">
        <f t="shared" si="89"/>
        <v>0.26723837607827028</v>
      </c>
      <c r="E833">
        <f t="shared" si="90"/>
        <v>0.20791169081777294</v>
      </c>
      <c r="F833">
        <f t="shared" si="88"/>
        <v>79857.395320916068</v>
      </c>
    </row>
    <row r="834" spans="1:6" x14ac:dyDescent="0.2">
      <c r="A834">
        <f t="shared" si="85"/>
        <v>164.69999999999919</v>
      </c>
      <c r="B834">
        <f t="shared" si="86"/>
        <v>2.8745572780346467</v>
      </c>
      <c r="C834">
        <f t="shared" si="87"/>
        <v>-0.96455741845779441</v>
      </c>
      <c r="D834">
        <f t="shared" si="89"/>
        <v>0.26387304996538652</v>
      </c>
      <c r="E834">
        <f t="shared" si="90"/>
        <v>0.20449605184180414</v>
      </c>
      <c r="F834">
        <f t="shared" si="88"/>
        <v>66340.441606787499</v>
      </c>
    </row>
    <row r="835" spans="1:6" x14ac:dyDescent="0.2">
      <c r="A835">
        <f t="shared" si="85"/>
        <v>164.89999999999918</v>
      </c>
      <c r="B835">
        <f t="shared" si="86"/>
        <v>2.8780479365386351</v>
      </c>
      <c r="C835">
        <f t="shared" si="87"/>
        <v>-0.96547263087922131</v>
      </c>
      <c r="D835">
        <f t="shared" si="89"/>
        <v>0.26050450864266222</v>
      </c>
      <c r="E835">
        <f t="shared" si="90"/>
        <v>0.20107792114597872</v>
      </c>
      <c r="F835">
        <f t="shared" si="88"/>
        <v>55103.961700627551</v>
      </c>
    </row>
    <row r="836" spans="1:6" x14ac:dyDescent="0.2">
      <c r="A836">
        <f t="shared" si="85"/>
        <v>165.09999999999917</v>
      </c>
      <c r="B836">
        <f t="shared" si="86"/>
        <v>2.8815385950426236</v>
      </c>
      <c r="C836">
        <f t="shared" si="87"/>
        <v>-0.96637607932132563</v>
      </c>
      <c r="D836">
        <f t="shared" si="89"/>
        <v>0.25713279315471027</v>
      </c>
      <c r="E836">
        <f t="shared" si="90"/>
        <v>0.19765734037914043</v>
      </c>
      <c r="F836">
        <f t="shared" si="88"/>
        <v>45764.584023788651</v>
      </c>
    </row>
    <row r="837" spans="1:6" x14ac:dyDescent="0.2">
      <c r="A837">
        <f>A836+0.2</f>
        <v>165.29999999999916</v>
      </c>
      <c r="B837">
        <f t="shared" si="86"/>
        <v>2.8850292535466124</v>
      </c>
      <c r="C837">
        <f t="shared" si="87"/>
        <v>-0.96726775277587318</v>
      </c>
      <c r="D837">
        <f t="shared" si="89"/>
        <v>0.25375794458481954</v>
      </c>
      <c r="E837">
        <f t="shared" si="90"/>
        <v>0.19423435121998608</v>
      </c>
      <c r="F837">
        <f t="shared" si="88"/>
        <v>38003.135289623897</v>
      </c>
    </row>
    <row r="838" spans="1:6" x14ac:dyDescent="0.2">
      <c r="A838">
        <f t="shared" ref="A838:A883" si="91">A837+0.2</f>
        <v>165.49999999999915</v>
      </c>
      <c r="B838">
        <f t="shared" si="86"/>
        <v>2.8885199120506</v>
      </c>
      <c r="C838">
        <f t="shared" si="87"/>
        <v>-0.96814764037810386</v>
      </c>
      <c r="D838">
        <f t="shared" si="89"/>
        <v>0.25038000405445637</v>
      </c>
      <c r="E838">
        <f t="shared" si="90"/>
        <v>0.19080899537655999</v>
      </c>
      <c r="F838">
        <f t="shared" si="88"/>
        <v>31553.935440318048</v>
      </c>
    </row>
    <row r="839" spans="1:6" x14ac:dyDescent="0.2">
      <c r="A839">
        <f t="shared" si="91"/>
        <v>165.69999999999914</v>
      </c>
      <c r="B839">
        <f t="shared" si="86"/>
        <v>2.8920105705545889</v>
      </c>
      <c r="C839">
        <f t="shared" si="87"/>
        <v>-0.9690157314068657</v>
      </c>
      <c r="D839">
        <f t="shared" si="89"/>
        <v>0.24699901272275768</v>
      </c>
      <c r="E839">
        <f t="shared" si="90"/>
        <v>0.18738131458573959</v>
      </c>
      <c r="F839">
        <f t="shared" si="88"/>
        <v>26195.869483485589</v>
      </c>
    </row>
    <row r="840" spans="1:6" x14ac:dyDescent="0.2">
      <c r="A840">
        <f t="shared" si="91"/>
        <v>165.89999999999912</v>
      </c>
      <c r="B840">
        <f t="shared" si="86"/>
        <v>2.8955012290585773</v>
      </c>
      <c r="C840">
        <f t="shared" si="87"/>
        <v>-0.96987201528474298</v>
      </c>
      <c r="D840">
        <f t="shared" si="89"/>
        <v>0.24361501178603751</v>
      </c>
      <c r="E840">
        <f t="shared" si="90"/>
        <v>0.18395135061273532</v>
      </c>
      <c r="F840">
        <f t="shared" si="88"/>
        <v>21744.942746609791</v>
      </c>
    </row>
    <row r="841" spans="1:6" x14ac:dyDescent="0.2">
      <c r="A841">
        <f t="shared" si="91"/>
        <v>166.09999999999911</v>
      </c>
      <c r="B841">
        <f t="shared" si="86"/>
        <v>2.8989918875625658</v>
      </c>
      <c r="C841">
        <f t="shared" si="87"/>
        <v>-0.97071648157818702</v>
      </c>
      <c r="D841">
        <f t="shared" si="89"/>
        <v>0.24022804247727894</v>
      </c>
      <c r="E841">
        <f t="shared" si="90"/>
        <v>0.18051914525057539</v>
      </c>
      <c r="F841">
        <f t="shared" si="88"/>
        <v>18048.07428109552</v>
      </c>
    </row>
    <row r="842" spans="1:6" x14ac:dyDescent="0.2">
      <c r="A842">
        <f t="shared" si="91"/>
        <v>166.2999999999991</v>
      </c>
      <c r="B842">
        <f t="shared" si="86"/>
        <v>2.9024825460665542</v>
      </c>
      <c r="C842">
        <f t="shared" si="87"/>
        <v>-0.97154911999764237</v>
      </c>
      <c r="D842">
        <f t="shared" si="89"/>
        <v>0.23683814606563414</v>
      </c>
      <c r="E842">
        <f t="shared" si="90"/>
        <v>0.17708474031959892</v>
      </c>
      <c r="F842">
        <f t="shared" si="88"/>
        <v>14977.923486658756</v>
      </c>
    </row>
    <row r="843" spans="1:6" x14ac:dyDescent="0.2">
      <c r="A843">
        <f t="shared" si="91"/>
        <v>166.49999999999909</v>
      </c>
      <c r="B843">
        <f t="shared" ref="B843:B883" si="92">A843*PI()/180</f>
        <v>2.9059732045705426</v>
      </c>
      <c r="C843">
        <f t="shared" ref="C843:C883" si="93">COS(B843)</f>
        <v>-0.97236992039767289</v>
      </c>
      <c r="D843">
        <f t="shared" si="89"/>
        <v>0.23344536385592107</v>
      </c>
      <c r="E843">
        <f t="shared" si="90"/>
        <v>0.17364817766694621</v>
      </c>
      <c r="F843">
        <f t="shared" ref="F843:F883" si="94">EXP(E843*$C$5*$C$6^2/($C$3*$C$2))</f>
        <v>12428.578768853293</v>
      </c>
    </row>
    <row r="844" spans="1:6" x14ac:dyDescent="0.2">
      <c r="A844">
        <f t="shared" si="91"/>
        <v>166.69999999999908</v>
      </c>
      <c r="B844">
        <f t="shared" si="92"/>
        <v>2.9094638630745311</v>
      </c>
      <c r="C844">
        <f t="shared" si="93"/>
        <v>-0.97317887277708448</v>
      </c>
      <c r="D844">
        <f t="shared" si="89"/>
        <v>0.2300497371881203</v>
      </c>
      <c r="E844">
        <f t="shared" si="90"/>
        <v>0.17020949916604861</v>
      </c>
      <c r="F844">
        <f t="shared" si="94"/>
        <v>10311.965260151004</v>
      </c>
    </row>
    <row r="845" spans="1:6" x14ac:dyDescent="0.2">
      <c r="A845">
        <f t="shared" si="91"/>
        <v>166.89999999999907</v>
      </c>
      <c r="B845">
        <f t="shared" si="92"/>
        <v>2.91295452157852</v>
      </c>
      <c r="C845">
        <f t="shared" si="93"/>
        <v>-0.973975967279048</v>
      </c>
      <c r="D845">
        <f t="shared" si="89"/>
        <v>0.22665130743687073</v>
      </c>
      <c r="E845">
        <f t="shared" si="90"/>
        <v>0.16676874671611813</v>
      </c>
      <c r="F845">
        <f t="shared" si="94"/>
        <v>8554.8522270644735</v>
      </c>
    </row>
    <row r="846" spans="1:6" x14ac:dyDescent="0.2">
      <c r="A846">
        <f t="shared" si="91"/>
        <v>167.09999999999906</v>
      </c>
      <c r="B846">
        <f t="shared" si="92"/>
        <v>2.9164451800825084</v>
      </c>
      <c r="C846">
        <f t="shared" si="93"/>
        <v>-0.97476119419121809</v>
      </c>
      <c r="D846">
        <f t="shared" si="89"/>
        <v>0.22325011601096725</v>
      </c>
      <c r="E846">
        <f t="shared" si="90"/>
        <v>0.16332596224163831</v>
      </c>
      <c r="F846">
        <f t="shared" si="94"/>
        <v>7096.3605060743857</v>
      </c>
    </row>
    <row r="847" spans="1:6" x14ac:dyDescent="0.2">
      <c r="A847">
        <f t="shared" si="91"/>
        <v>167.29999999999905</v>
      </c>
      <c r="B847">
        <f t="shared" si="92"/>
        <v>2.9199358385864969</v>
      </c>
      <c r="C847">
        <f t="shared" si="93"/>
        <v>-0.97553454394585293</v>
      </c>
      <c r="D847">
        <f t="shared" si="89"/>
        <v>0.21984620435285365</v>
      </c>
      <c r="E847">
        <f t="shared" si="90"/>
        <v>0.15988118769185117</v>
      </c>
      <c r="F847">
        <f t="shared" si="94"/>
        <v>5885.8867912612959</v>
      </c>
    </row>
    <row r="848" spans="1:6" x14ac:dyDescent="0.2">
      <c r="A848">
        <f t="shared" si="91"/>
        <v>167.49999999999903</v>
      </c>
      <c r="B848">
        <f t="shared" si="92"/>
        <v>2.9234264970904849</v>
      </c>
      <c r="C848">
        <f t="shared" si="93"/>
        <v>-0.9762960071199297</v>
      </c>
      <c r="D848">
        <f t="shared" si="89"/>
        <v>0.21643961393811967</v>
      </c>
      <c r="E848">
        <f t="shared" si="90"/>
        <v>0.15643446504024783</v>
      </c>
      <c r="F848">
        <f t="shared" si="94"/>
        <v>4881.3753658365622</v>
      </c>
    </row>
    <row r="849" spans="1:6" x14ac:dyDescent="0.2">
      <c r="A849">
        <f t="shared" si="91"/>
        <v>167.69999999999902</v>
      </c>
      <c r="B849">
        <f t="shared" si="92"/>
        <v>2.9269171555944733</v>
      </c>
      <c r="C849">
        <f t="shared" si="93"/>
        <v>-0.97704557443525997</v>
      </c>
      <c r="D849">
        <f t="shared" si="89"/>
        <v>0.21303038627499357</v>
      </c>
      <c r="E849">
        <f t="shared" si="90"/>
        <v>0.15298583628405527</v>
      </c>
      <c r="F849">
        <f t="shared" si="94"/>
        <v>4047.879371556236</v>
      </c>
    </row>
    <row r="850" spans="1:6" x14ac:dyDescent="0.2">
      <c r="A850">
        <f t="shared" si="91"/>
        <v>167.89999999999901</v>
      </c>
      <c r="B850">
        <f t="shared" si="92"/>
        <v>2.9304078140984617</v>
      </c>
      <c r="C850">
        <f t="shared" si="93"/>
        <v>-0.97778323675860246</v>
      </c>
      <c r="D850">
        <f t="shared" si="89"/>
        <v>0.20961856290383904</v>
      </c>
      <c r="E850">
        <f t="shared" si="90"/>
        <v>0.14953534344372696</v>
      </c>
      <c r="F850">
        <f t="shared" si="94"/>
        <v>3356.3633156106216</v>
      </c>
    </row>
    <row r="851" spans="1:6" x14ac:dyDescent="0.2">
      <c r="A851">
        <f t="shared" si="91"/>
        <v>168.099999999999</v>
      </c>
      <c r="B851">
        <f t="shared" si="92"/>
        <v>2.9338984726024502</v>
      </c>
      <c r="C851">
        <f t="shared" si="93"/>
        <v>-0.97850898510177475</v>
      </c>
      <c r="D851">
        <f t="shared" si="89"/>
        <v>0.20620418539664709</v>
      </c>
      <c r="E851">
        <f t="shared" si="90"/>
        <v>0.14608302856242925</v>
      </c>
      <c r="F851">
        <f t="shared" si="94"/>
        <v>2782.7065348542824</v>
      </c>
    </row>
    <row r="852" spans="1:6" x14ac:dyDescent="0.2">
      <c r="A852">
        <f t="shared" si="91"/>
        <v>168.29999999999899</v>
      </c>
      <c r="B852">
        <f t="shared" si="92"/>
        <v>2.9373891311064386</v>
      </c>
      <c r="C852">
        <f t="shared" si="93"/>
        <v>-0.97922281062176209</v>
      </c>
      <c r="D852">
        <f t="shared" si="89"/>
        <v>0.20278729535653017</v>
      </c>
      <c r="E852">
        <f t="shared" si="90"/>
        <v>0.14262893370552954</v>
      </c>
      <c r="F852">
        <f t="shared" si="94"/>
        <v>2306.8740324082464</v>
      </c>
    </row>
    <row r="853" spans="1:6" x14ac:dyDescent="0.2">
      <c r="A853">
        <f t="shared" si="91"/>
        <v>168.49999999999898</v>
      </c>
      <c r="B853">
        <f t="shared" si="92"/>
        <v>2.9408797896104275</v>
      </c>
      <c r="C853">
        <f t="shared" si="93"/>
        <v>-0.97992470462082604</v>
      </c>
      <c r="D853">
        <f t="shared" ref="D853:D883" si="95">SIN(B853)</f>
        <v>0.19936793441721465</v>
      </c>
      <c r="E853">
        <f t="shared" ref="E853:E883" si="96">C853*$E$7+D853*$F$7</f>
        <v>0.13917310096008309</v>
      </c>
      <c r="F853">
        <f t="shared" si="94"/>
        <v>1912.2266894643253</v>
      </c>
    </row>
    <row r="854" spans="1:6" x14ac:dyDescent="0.2">
      <c r="A854">
        <f t="shared" si="91"/>
        <v>168.69999999999897</v>
      </c>
      <c r="B854">
        <f t="shared" si="92"/>
        <v>2.944370448114416</v>
      </c>
      <c r="C854">
        <f t="shared" si="93"/>
        <v>-0.98061465854660945</v>
      </c>
      <c r="D854">
        <f t="shared" si="95"/>
        <v>0.1959461442425354</v>
      </c>
      <c r="E854">
        <f t="shared" si="96"/>
        <v>0.13571557243432225</v>
      </c>
      <c r="F854">
        <f t="shared" si="94"/>
        <v>1584.9475177415195</v>
      </c>
    </row>
    <row r="855" spans="1:6" x14ac:dyDescent="0.2">
      <c r="A855">
        <f t="shared" si="91"/>
        <v>168.89999999999895</v>
      </c>
      <c r="B855">
        <f t="shared" si="92"/>
        <v>2.9478611066184044</v>
      </c>
      <c r="C855">
        <f t="shared" si="93"/>
        <v>-0.98129266399224169</v>
      </c>
      <c r="D855">
        <f t="shared" si="95"/>
        <v>0.19252196652592535</v>
      </c>
      <c r="E855">
        <f t="shared" si="96"/>
        <v>0.1322563902571405</v>
      </c>
      <c r="F855">
        <f t="shared" si="94"/>
        <v>1313.5645078600842</v>
      </c>
    </row>
    <row r="856" spans="1:6" x14ac:dyDescent="0.2">
      <c r="A856">
        <f t="shared" si="91"/>
        <v>169.09999999999894</v>
      </c>
      <c r="B856">
        <f t="shared" si="92"/>
        <v>2.9513517651223928</v>
      </c>
      <c r="C856">
        <f t="shared" si="93"/>
        <v>-0.98195871269644019</v>
      </c>
      <c r="D856">
        <f t="shared" si="95"/>
        <v>0.18909544298990943</v>
      </c>
      <c r="E856">
        <f t="shared" si="96"/>
        <v>0.12879559657758111</v>
      </c>
      <c r="F856">
        <f t="shared" si="94"/>
        <v>1088.553873340973</v>
      </c>
    </row>
    <row r="857" spans="1:6" x14ac:dyDescent="0.2">
      <c r="A857">
        <f t="shared" si="91"/>
        <v>169.29999999999893</v>
      </c>
      <c r="B857">
        <f t="shared" si="92"/>
        <v>2.9548424236263813</v>
      </c>
      <c r="C857">
        <f t="shared" si="93"/>
        <v>-0.98261279654361178</v>
      </c>
      <c r="D857">
        <f t="shared" si="95"/>
        <v>0.18566661538559559</v>
      </c>
      <c r="E857">
        <f t="shared" si="96"/>
        <v>0.1253332335643228</v>
      </c>
      <c r="F857">
        <f t="shared" si="94"/>
        <v>902.01019553216361</v>
      </c>
    </row>
    <row r="858" spans="1:6" x14ac:dyDescent="0.2">
      <c r="A858">
        <f t="shared" si="91"/>
        <v>169.49999999999892</v>
      </c>
      <c r="B858">
        <f t="shared" si="92"/>
        <v>2.9583330821303702</v>
      </c>
      <c r="C858">
        <f t="shared" si="93"/>
        <v>-0.98325490756395117</v>
      </c>
      <c r="D858">
        <f t="shared" si="95"/>
        <v>0.18223552549216562</v>
      </c>
      <c r="E858">
        <f t="shared" si="96"/>
        <v>0.12186934340516581</v>
      </c>
      <c r="F858">
        <f t="shared" si="94"/>
        <v>747.37223055953643</v>
      </c>
    </row>
    <row r="859" spans="1:6" x14ac:dyDescent="0.2">
      <c r="A859">
        <f t="shared" si="91"/>
        <v>169.69999999999891</v>
      </c>
      <c r="B859">
        <f t="shared" si="92"/>
        <v>2.9618237406343577</v>
      </c>
      <c r="C859">
        <f t="shared" si="93"/>
        <v>-0.9838850379335381</v>
      </c>
      <c r="D859">
        <f t="shared" si="95"/>
        <v>0.17880221511636887</v>
      </c>
      <c r="E859">
        <f t="shared" si="96"/>
        <v>0.11840396830652039</v>
      </c>
      <c r="F859">
        <f t="shared" si="94"/>
        <v>619.19501980279551</v>
      </c>
    </row>
    <row r="860" spans="1:6" x14ac:dyDescent="0.2">
      <c r="A860">
        <f t="shared" si="91"/>
        <v>169.8999999999989</v>
      </c>
      <c r="B860">
        <f t="shared" si="92"/>
        <v>2.9653143991383462</v>
      </c>
      <c r="C860">
        <f t="shared" si="93"/>
        <v>-0.98450317997443315</v>
      </c>
      <c r="D860">
        <f t="shared" si="95"/>
        <v>0.1753667260920066</v>
      </c>
      <c r="E860">
        <f t="shared" si="96"/>
        <v>0.11493715049288626</v>
      </c>
      <c r="F860">
        <f t="shared" si="94"/>
        <v>512.96051257396641</v>
      </c>
    </row>
    <row r="861" spans="1:6" x14ac:dyDescent="0.2">
      <c r="A861">
        <f t="shared" si="91"/>
        <v>170.09999999999889</v>
      </c>
      <c r="B861">
        <f t="shared" si="92"/>
        <v>2.968805057642335</v>
      </c>
      <c r="C861">
        <f t="shared" si="93"/>
        <v>-0.98510932615477054</v>
      </c>
      <c r="D861">
        <f t="shared" si="95"/>
        <v>0.17192910027942881</v>
      </c>
      <c r="E861">
        <f t="shared" si="96"/>
        <v>0.11146893220634491</v>
      </c>
      <c r="F861">
        <f t="shared" si="94"/>
        <v>424.92021555409252</v>
      </c>
    </row>
    <row r="862" spans="1:6" x14ac:dyDescent="0.2">
      <c r="A862">
        <f t="shared" si="91"/>
        <v>170.29999999999887</v>
      </c>
      <c r="B862">
        <f t="shared" si="92"/>
        <v>2.9722957161463235</v>
      </c>
      <c r="C862">
        <f t="shared" si="93"/>
        <v>-0.9857034690888502</v>
      </c>
      <c r="D862">
        <f t="shared" si="95"/>
        <v>0.16848937956502211</v>
      </c>
      <c r="E862">
        <f t="shared" si="96"/>
        <v>0.10799935570604252</v>
      </c>
      <c r="F862">
        <f t="shared" si="94"/>
        <v>351.96447148032723</v>
      </c>
    </row>
    <row r="863" spans="1:6" x14ac:dyDescent="0.2">
      <c r="A863">
        <f t="shared" si="91"/>
        <v>170.49999999999886</v>
      </c>
      <c r="B863">
        <f t="shared" si="92"/>
        <v>2.9757863746503119</v>
      </c>
      <c r="C863">
        <f t="shared" si="93"/>
        <v>-0.98628560153722811</v>
      </c>
      <c r="D863">
        <f t="shared" si="95"/>
        <v>0.16504760586069739</v>
      </c>
      <c r="E863">
        <f t="shared" si="96"/>
        <v>0.10452846326767337</v>
      </c>
      <c r="F863">
        <f t="shared" si="94"/>
        <v>291.51387577967597</v>
      </c>
    </row>
    <row r="864" spans="1:6" x14ac:dyDescent="0.2">
      <c r="A864">
        <f t="shared" si="91"/>
        <v>170.69999999999885</v>
      </c>
      <c r="B864">
        <f t="shared" si="92"/>
        <v>2.9792770331543004</v>
      </c>
      <c r="C864">
        <f t="shared" si="93"/>
        <v>-0.98685571640680403</v>
      </c>
      <c r="D864">
        <f t="shared" si="95"/>
        <v>0.16160382110338109</v>
      </c>
      <c r="E864">
        <f t="shared" si="96"/>
        <v>0.10105629718296646</v>
      </c>
      <c r="F864">
        <f t="shared" si="94"/>
        <v>241.42909453181142</v>
      </c>
    </row>
    <row r="865" spans="1:6" x14ac:dyDescent="0.2">
      <c r="A865">
        <f t="shared" si="91"/>
        <v>170.89999999999884</v>
      </c>
      <c r="B865">
        <f t="shared" si="92"/>
        <v>2.9827676916582888</v>
      </c>
      <c r="C865">
        <f t="shared" si="93"/>
        <v>-0.98741380675090817</v>
      </c>
      <c r="D865">
        <f t="shared" si="95"/>
        <v>0.15815806725450374</v>
      </c>
      <c r="E865">
        <f t="shared" si="96"/>
        <v>9.7582899759169825E-2</v>
      </c>
      <c r="F865">
        <f t="shared" si="94"/>
        <v>199.93597553309709</v>
      </c>
    </row>
    <row r="866" spans="1:6" x14ac:dyDescent="0.2">
      <c r="A866">
        <f t="shared" si="91"/>
        <v>171.09999999999883</v>
      </c>
      <c r="B866">
        <f t="shared" si="92"/>
        <v>2.9862583501622777</v>
      </c>
      <c r="C866">
        <f t="shared" si="93"/>
        <v>-0.98795986576938599</v>
      </c>
      <c r="D866">
        <f t="shared" si="95"/>
        <v>0.15471038629948805</v>
      </c>
      <c r="E866">
        <f t="shared" si="96"/>
        <v>9.410831331853442E-2</v>
      </c>
      <c r="F866">
        <f t="shared" si="94"/>
        <v>165.56336736954518</v>
      </c>
    </row>
    <row r="867" spans="1:6" x14ac:dyDescent="0.2">
      <c r="A867">
        <f t="shared" si="91"/>
        <v>171.29999999999882</v>
      </c>
      <c r="B867">
        <f t="shared" si="92"/>
        <v>2.9897490086662661</v>
      </c>
      <c r="C867">
        <f t="shared" si="93"/>
        <v>-0.98849388680868044</v>
      </c>
      <c r="D867">
        <f t="shared" si="95"/>
        <v>0.15126082024723941</v>
      </c>
      <c r="E867">
        <f t="shared" si="96"/>
        <v>9.0632580197800489E-2</v>
      </c>
      <c r="F867">
        <f t="shared" si="94"/>
        <v>137.09149684042612</v>
      </c>
    </row>
    <row r="868" spans="1:6" x14ac:dyDescent="0.2">
      <c r="A868">
        <f t="shared" si="91"/>
        <v>171.49999999999881</v>
      </c>
      <c r="B868">
        <f t="shared" si="92"/>
        <v>2.9932396671702546</v>
      </c>
      <c r="C868">
        <f t="shared" si="93"/>
        <v>-0.98901586336191383</v>
      </c>
      <c r="D868">
        <f t="shared" si="95"/>
        <v>0.14780941112963103</v>
      </c>
      <c r="E868">
        <f t="shared" si="96"/>
        <v>8.7155742747678705E-2</v>
      </c>
      <c r="F868">
        <f t="shared" si="94"/>
        <v>113.50911744671207</v>
      </c>
    </row>
    <row r="869" spans="1:6" x14ac:dyDescent="0.2">
      <c r="A869">
        <f t="shared" si="91"/>
        <v>171.69999999999879</v>
      </c>
      <c r="B869">
        <f t="shared" si="92"/>
        <v>2.9967303256742426</v>
      </c>
      <c r="C869">
        <f t="shared" si="93"/>
        <v>-0.98952578906896638</v>
      </c>
      <c r="D869">
        <f t="shared" si="95"/>
        <v>0.14435620100099431</v>
      </c>
      <c r="E869">
        <f t="shared" si="96"/>
        <v>8.3677843332336729E-2</v>
      </c>
      <c r="F869">
        <f t="shared" si="94"/>
        <v>93.977943177049582</v>
      </c>
    </row>
    <row r="870" spans="1:6" x14ac:dyDescent="0.2">
      <c r="A870">
        <f t="shared" si="91"/>
        <v>171.89999999999878</v>
      </c>
      <c r="B870">
        <f t="shared" si="92"/>
        <v>3.000220984178231</v>
      </c>
      <c r="C870">
        <f t="shared" si="93"/>
        <v>-0.99002365771655454</v>
      </c>
      <c r="D870">
        <f t="shared" si="95"/>
        <v>0.14090123193760398</v>
      </c>
      <c r="E870">
        <f t="shared" si="96"/>
        <v>8.0198924328880386E-2</v>
      </c>
      <c r="F870">
        <f t="shared" si="94"/>
        <v>77.803132665019845</v>
      </c>
    </row>
    <row r="871" spans="1:6" x14ac:dyDescent="0.2">
      <c r="A871">
        <f t="shared" si="91"/>
        <v>172.09999999999877</v>
      </c>
      <c r="B871">
        <f t="shared" si="92"/>
        <v>3.0037116426822195</v>
      </c>
      <c r="C871">
        <f t="shared" si="93"/>
        <v>-0.9905094632383058</v>
      </c>
      <c r="D871">
        <f t="shared" si="95"/>
        <v>0.13744454603716819</v>
      </c>
      <c r="E871">
        <f t="shared" si="96"/>
        <v>7.6719028126840297E-2</v>
      </c>
      <c r="F871">
        <f t="shared" si="94"/>
        <v>64.408797438509851</v>
      </c>
    </row>
    <row r="872" spans="1:6" x14ac:dyDescent="0.2">
      <c r="A872">
        <f t="shared" si="91"/>
        <v>172.29999999999876</v>
      </c>
      <c r="B872">
        <f t="shared" si="92"/>
        <v>3.0072023011862079</v>
      </c>
      <c r="C872">
        <f t="shared" si="93"/>
        <v>-0.99098319971483328</v>
      </c>
      <c r="D872">
        <f t="shared" si="95"/>
        <v>0.13398618541831381</v>
      </c>
      <c r="E872">
        <f t="shared" si="96"/>
        <v>7.3238197127653559E-2</v>
      </c>
      <c r="F872">
        <f t="shared" si="94"/>
        <v>53.317681503584055</v>
      </c>
    </row>
    <row r="873" spans="1:6" x14ac:dyDescent="0.2">
      <c r="A873">
        <f t="shared" si="91"/>
        <v>172.49999999999875</v>
      </c>
      <c r="B873">
        <f t="shared" si="92"/>
        <v>3.0106929596901963</v>
      </c>
      <c r="C873">
        <f t="shared" si="93"/>
        <v>-0.9914448613738075</v>
      </c>
      <c r="D873">
        <f t="shared" si="95"/>
        <v>0.13052619222007358</v>
      </c>
      <c r="E873">
        <f t="shared" si="96"/>
        <v>6.9756473744147424E-2</v>
      </c>
      <c r="F873">
        <f t="shared" si="94"/>
        <v>44.134303791826532</v>
      </c>
    </row>
    <row r="874" spans="1:6" x14ac:dyDescent="0.2">
      <c r="A874">
        <f t="shared" si="91"/>
        <v>172.69999999999874</v>
      </c>
      <c r="B874">
        <f t="shared" si="92"/>
        <v>3.0141836181941852</v>
      </c>
      <c r="C874">
        <f t="shared" si="93"/>
        <v>-0.9918944425900269</v>
      </c>
      <c r="D874">
        <f t="shared" si="95"/>
        <v>0.12706460860137225</v>
      </c>
      <c r="E874">
        <f t="shared" si="96"/>
        <v>6.6273900400022026E-2</v>
      </c>
      <c r="F874">
        <f t="shared" si="94"/>
        <v>36.530974957867031</v>
      </c>
    </row>
    <row r="875" spans="1:6" x14ac:dyDescent="0.2">
      <c r="A875">
        <f t="shared" si="91"/>
        <v>172.89999999999873</v>
      </c>
      <c r="B875">
        <f t="shared" si="92"/>
        <v>3.0176742766981737</v>
      </c>
      <c r="C875">
        <f t="shared" si="93"/>
        <v>-0.99233193788548602</v>
      </c>
      <c r="D875">
        <f t="shared" si="95"/>
        <v>0.12360147674051471</v>
      </c>
      <c r="E875">
        <f t="shared" si="96"/>
        <v>6.2790519529335481E-2</v>
      </c>
      <c r="F875">
        <f t="shared" si="94"/>
        <v>30.236199729515402</v>
      </c>
    </row>
    <row r="876" spans="1:6" x14ac:dyDescent="0.2">
      <c r="A876">
        <f t="shared" si="91"/>
        <v>173.09999999999872</v>
      </c>
      <c r="B876">
        <f t="shared" si="92"/>
        <v>3.0211649352021621</v>
      </c>
      <c r="C876">
        <f t="shared" si="93"/>
        <v>-0.99275734192944287</v>
      </c>
      <c r="D876">
        <f t="shared" si="95"/>
        <v>0.12013683883466932</v>
      </c>
      <c r="E876">
        <f t="shared" si="96"/>
        <v>5.9306373575983957E-2</v>
      </c>
      <c r="F876">
        <f t="shared" si="94"/>
        <v>25.025058889459014</v>
      </c>
    </row>
    <row r="877" spans="1:6" x14ac:dyDescent="0.2">
      <c r="A877">
        <f t="shared" si="91"/>
        <v>173.2999999999987</v>
      </c>
      <c r="B877">
        <f t="shared" si="92"/>
        <v>3.0246555937061506</v>
      </c>
      <c r="C877">
        <f t="shared" si="93"/>
        <v>-0.99317064953848344</v>
      </c>
      <c r="D877">
        <f t="shared" si="95"/>
        <v>0.11667073709935562</v>
      </c>
      <c r="E877">
        <f t="shared" si="96"/>
        <v>5.582150499318636E-2</v>
      </c>
      <c r="F877">
        <f t="shared" si="94"/>
        <v>20.711233838161604</v>
      </c>
    </row>
    <row r="878" spans="1:6" x14ac:dyDescent="0.2">
      <c r="A878">
        <f t="shared" si="91"/>
        <v>173.49999999999869</v>
      </c>
      <c r="B878">
        <f t="shared" si="92"/>
        <v>3.028146252210139</v>
      </c>
      <c r="C878">
        <f t="shared" si="93"/>
        <v>-0.9935718556765849</v>
      </c>
      <c r="D878">
        <f t="shared" si="95"/>
        <v>0.11320321376792938</v>
      </c>
      <c r="E878">
        <f t="shared" si="96"/>
        <v>5.2335956242966608E-2</v>
      </c>
      <c r="F878">
        <f t="shared" si="94"/>
        <v>17.140393910745619</v>
      </c>
    </row>
    <row r="879" spans="1:6" x14ac:dyDescent="0.2">
      <c r="A879">
        <f t="shared" si="91"/>
        <v>173.69999999999868</v>
      </c>
      <c r="B879">
        <f t="shared" si="92"/>
        <v>3.0316369107141274</v>
      </c>
      <c r="C879">
        <f t="shared" si="93"/>
        <v>-0.99396095545517715</v>
      </c>
      <c r="D879">
        <f t="shared" si="95"/>
        <v>0.10973431109106817</v>
      </c>
      <c r="E879">
        <f t="shared" si="96"/>
        <v>4.8849769795636273E-2</v>
      </c>
      <c r="F879">
        <f t="shared" si="94"/>
        <v>14.184714159250332</v>
      </c>
    </row>
    <row r="880" spans="1:6" x14ac:dyDescent="0.2">
      <c r="A880">
        <f>A879+0.2</f>
        <v>173.89999999999867</v>
      </c>
      <c r="B880">
        <f t="shared" si="92"/>
        <v>3.0351275692181154</v>
      </c>
      <c r="C880">
        <f t="shared" si="93"/>
        <v>-0.99433794413320209</v>
      </c>
      <c r="D880">
        <f t="shared" si="95"/>
        <v>0.10626407133625677</v>
      </c>
      <c r="E880">
        <f t="shared" si="96"/>
        <v>4.5362988129277457E-2</v>
      </c>
      <c r="F880">
        <f t="shared" si="94"/>
        <v>11.738330799006294</v>
      </c>
    </row>
    <row r="881" spans="1:6" x14ac:dyDescent="0.2">
      <c r="A881">
        <f t="shared" si="91"/>
        <v>174.09999999999866</v>
      </c>
      <c r="B881">
        <f t="shared" si="92"/>
        <v>3.0386182277221039</v>
      </c>
      <c r="C881">
        <f t="shared" si="93"/>
        <v>-0.99470281711717179</v>
      </c>
      <c r="D881">
        <f t="shared" si="95"/>
        <v>0.1027925367872706</v>
      </c>
      <c r="E881">
        <f t="shared" si="96"/>
        <v>4.1875653729223514E-2</v>
      </c>
      <c r="F881">
        <f t="shared" si="94"/>
        <v>9.7135743129262053</v>
      </c>
    </row>
    <row r="882" spans="1:6" x14ac:dyDescent="0.2">
      <c r="A882">
        <f t="shared" si="91"/>
        <v>174.29999999999865</v>
      </c>
      <c r="B882">
        <f t="shared" si="92"/>
        <v>3.0421088862260928</v>
      </c>
      <c r="C882">
        <f t="shared" si="93"/>
        <v>-0.99505556996122391</v>
      </c>
      <c r="D882">
        <f t="shared" si="95"/>
        <v>9.9319749743662575E-2</v>
      </c>
      <c r="E882">
        <f t="shared" si="96"/>
        <v>3.8387809087543592E-2</v>
      </c>
      <c r="F882">
        <f t="shared" si="94"/>
        <v>8.0378474407035707</v>
      </c>
    </row>
    <row r="883" spans="1:6" x14ac:dyDescent="0.2">
      <c r="A883">
        <f t="shared" si="91"/>
        <v>174.49999999999864</v>
      </c>
      <c r="B883">
        <f t="shared" si="92"/>
        <v>3.0455995447300812</v>
      </c>
      <c r="C883">
        <f t="shared" si="93"/>
        <v>-0.99539619836717652</v>
      </c>
      <c r="D883">
        <f t="shared" si="95"/>
        <v>9.5845752520247782E-2</v>
      </c>
      <c r="E883">
        <f t="shared" si="96"/>
        <v>3.489949670252486E-2</v>
      </c>
      <c r="F883">
        <f t="shared" si="94"/>
        <v>6.6510378913932122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2026-02-27T13:47:37Z</dcterms:created>
  <dcterms:modified xsi:type="dcterms:W3CDTF">2026-04-06T20:08:13Z</dcterms:modified>
</cp:coreProperties>
</file>
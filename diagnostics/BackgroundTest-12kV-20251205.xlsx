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EB49DFAD-D3A9-E744-B2BF-64CA2ACC6484}" xr6:coauthVersionLast="47" xr6:coauthVersionMax="47" xr10:uidLastSave="{00000000-0000-0000-0000-000000000000}"/>
  <bookViews>
    <workbookView xWindow="9260" yWindow="3800" windowWidth="31920" windowHeight="19680" xr2:uid="{78A0BE6D-E0B6-B443-8F15-B46E86807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H31" i="1"/>
  <c r="H19" i="1"/>
  <c r="K34" i="1"/>
  <c r="D19" i="1"/>
  <c r="D31" i="1"/>
  <c r="M34" i="1"/>
  <c r="J34" i="1"/>
  <c r="G31" i="1"/>
  <c r="G30" i="1"/>
  <c r="G29" i="1"/>
  <c r="G28" i="1"/>
  <c r="G27" i="1"/>
  <c r="G26" i="1"/>
  <c r="G25" i="1"/>
  <c r="G24" i="1"/>
  <c r="C31" i="1"/>
  <c r="G12" i="1"/>
  <c r="G13" i="1"/>
  <c r="G14" i="1"/>
  <c r="G15" i="1"/>
  <c r="G19" i="1" s="1"/>
  <c r="G16" i="1"/>
  <c r="G17" i="1"/>
  <c r="G18" i="1"/>
  <c r="C19" i="1"/>
  <c r="J32" i="1"/>
  <c r="F31" i="1"/>
  <c r="B31" i="1"/>
  <c r="C30" i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F19" i="1"/>
  <c r="B19" i="1"/>
  <c r="D30" i="1" l="1"/>
  <c r="M8" i="1"/>
  <c r="I8" i="1"/>
  <c r="C13" i="1" s="1"/>
  <c r="C14" i="1" l="1"/>
  <c r="D14" i="1" s="1"/>
  <c r="C15" i="1"/>
  <c r="J27" i="1" s="1"/>
  <c r="H14" i="1"/>
  <c r="C16" i="1"/>
  <c r="J28" i="1" s="1"/>
  <c r="C17" i="1"/>
  <c r="H12" i="1"/>
  <c r="C18" i="1"/>
  <c r="D16" i="1"/>
  <c r="K28" i="1" s="1"/>
  <c r="H13" i="1"/>
  <c r="J25" i="1"/>
  <c r="D13" i="1"/>
  <c r="J26" i="1"/>
  <c r="K26" i="1" s="1"/>
  <c r="H16" i="1"/>
  <c r="H17" i="1"/>
  <c r="H18" i="1"/>
  <c r="C12" i="1"/>
  <c r="D15" i="1"/>
  <c r="K27" i="1" s="1"/>
  <c r="J30" i="1" l="1"/>
  <c r="D18" i="1"/>
  <c r="J29" i="1"/>
  <c r="D17" i="1"/>
  <c r="D12" i="1"/>
  <c r="J24" i="1"/>
  <c r="K25" i="1"/>
  <c r="K24" i="1" l="1"/>
  <c r="K29" i="1"/>
  <c r="K30" i="1"/>
</calcChain>
</file>

<file path=xl/sharedStrings.xml><?xml version="1.0" encoding="utf-8"?>
<sst xmlns="http://schemas.openxmlformats.org/spreadsheetml/2006/main" count="46" uniqueCount="39">
  <si>
    <t>Bacgrkound Test</t>
  </si>
  <si>
    <t>playback date</t>
  </si>
  <si>
    <t xml:space="preserve">data DOY </t>
  </si>
  <si>
    <t>Date</t>
  </si>
  <si>
    <t>period</t>
  </si>
  <si>
    <t>Notes</t>
  </si>
  <si>
    <t>start time</t>
  </si>
  <si>
    <t>start date</t>
  </si>
  <si>
    <t>end time</t>
  </si>
  <si>
    <t>∆t (s)</t>
  </si>
  <si>
    <t>end date</t>
  </si>
  <si>
    <t>pos def current (uA)</t>
  </si>
  <si>
    <t>spin period (raw)</t>
  </si>
  <si>
    <t>spin period (s)</t>
  </si>
  <si>
    <t xml:space="preserve">playback label </t>
  </si>
  <si>
    <t>products</t>
  </si>
  <si>
    <t>RA_spin</t>
  </si>
  <si>
    <t>DE_spin</t>
  </si>
  <si>
    <t>GSEOS</t>
  </si>
  <si>
    <t>3 day</t>
  </si>
  <si>
    <t>1500 V def, back test</t>
  </si>
  <si>
    <t>playback_DOY336_NHK_Background</t>
  </si>
  <si>
    <t>NHK, DE, STAR, SCI_CNT</t>
  </si>
  <si>
    <t>C:/IMAP_Lo_v4p4/2025-12-05/RecordFiles/Instrument_FM1/Instrument_FM1_playback_500Vdef_ILO_APP_NHK</t>
  </si>
  <si>
    <t>U-</t>
  </si>
  <si>
    <t>U+</t>
  </si>
  <si>
    <t>H</t>
  </si>
  <si>
    <t>ESA</t>
  </si>
  <si>
    <t>Count</t>
  </si>
  <si>
    <t>O</t>
  </si>
  <si>
    <t>Rate</t>
  </si>
  <si>
    <t>∆R</t>
  </si>
  <si>
    <t>Background for 7 keV test</t>
  </si>
  <si>
    <t>∆Ratio</t>
  </si>
  <si>
    <t>Ratio: 12 kV/7 kV 7 kV</t>
  </si>
  <si>
    <t>∆t</t>
  </si>
  <si>
    <t>sum</t>
  </si>
  <si>
    <t>Ratio of averages</t>
  </si>
  <si>
    <t>Expected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</si>
</sst>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\ hh:mm:ss"/>
  </numFmts>
  <fonts count="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BEE0-DA47-AB41-B137-9006B17DAAA1}">
  <dimension ref="A1:R35"/>
  <sheetViews>
    <sheetView tabSelected="1" zoomScale="159" zoomScaleNormal="159" workbookViewId="0">
      <selection activeCell="I8" sqref="I8"/>
    </sheetView>
  </sheetViews>
  <sheetFormatPr baseColWidth="10" defaultRowHeight="16" x14ac:dyDescent="0.2"/>
  <cols>
    <col min="4" max="4" width="12.1640625" bestFit="1" customWidth="1"/>
    <col min="7" max="7" width="18.5" customWidth="1"/>
    <col min="8" max="8" width="12.1640625" bestFit="1" customWidth="1"/>
    <col min="10" max="10" width="26.1640625" customWidth="1"/>
  </cols>
  <sheetData>
    <row r="1" spans="1:18" x14ac:dyDescent="0.2">
      <c r="A1" t="s">
        <v>0</v>
      </c>
    </row>
    <row r="2" spans="1:18" x14ac:dyDescent="0.2">
      <c r="A2" s="1">
        <v>45996</v>
      </c>
    </row>
    <row r="3" spans="1:18" x14ac:dyDescent="0.2">
      <c r="A3" s="1"/>
    </row>
    <row r="4" spans="1:18" x14ac:dyDescent="0.2">
      <c r="A4" s="1" t="s">
        <v>24</v>
      </c>
      <c r="B4">
        <v>762</v>
      </c>
      <c r="C4" s="1"/>
    </row>
    <row r="5" spans="1:18" x14ac:dyDescent="0.2">
      <c r="A5" s="1" t="s">
        <v>25</v>
      </c>
      <c r="B5">
        <v>62</v>
      </c>
      <c r="C5" s="1"/>
    </row>
    <row r="7" spans="1:18" x14ac:dyDescent="0.2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</row>
    <row r="8" spans="1:18" x14ac:dyDescent="0.2">
      <c r="A8" s="2">
        <v>45996</v>
      </c>
      <c r="B8">
        <v>337</v>
      </c>
      <c r="C8" s="1">
        <v>45994</v>
      </c>
      <c r="D8" t="s">
        <v>19</v>
      </c>
      <c r="E8" t="s">
        <v>20</v>
      </c>
      <c r="F8">
        <v>502493659</v>
      </c>
      <c r="G8" s="3">
        <v>45994.898831018516</v>
      </c>
      <c r="H8">
        <v>502588803</v>
      </c>
      <c r="I8">
        <f t="shared" ref="I8" si="0">H8-F8</f>
        <v>95144</v>
      </c>
      <c r="J8" s="3">
        <v>45996.000034722223</v>
      </c>
      <c r="K8">
        <v>0.3</v>
      </c>
      <c r="L8">
        <v>47277</v>
      </c>
      <c r="M8">
        <f>0.00032*L8</f>
        <v>15.128640000000001</v>
      </c>
      <c r="N8" t="s">
        <v>21</v>
      </c>
      <c r="O8" t="s">
        <v>22</v>
      </c>
      <c r="R8" t="s">
        <v>23</v>
      </c>
    </row>
    <row r="10" spans="1:18" x14ac:dyDescent="0.2">
      <c r="A10" t="s">
        <v>26</v>
      </c>
      <c r="F10" t="s">
        <v>29</v>
      </c>
    </row>
    <row r="11" spans="1:18" x14ac:dyDescent="0.2">
      <c r="A11" t="s">
        <v>27</v>
      </c>
      <c r="B11" t="s">
        <v>28</v>
      </c>
      <c r="C11" t="s">
        <v>30</v>
      </c>
      <c r="D11" t="s">
        <v>31</v>
      </c>
      <c r="F11" t="s">
        <v>28</v>
      </c>
    </row>
    <row r="12" spans="1:18" x14ac:dyDescent="0.2">
      <c r="A12">
        <v>1</v>
      </c>
      <c r="B12">
        <v>21</v>
      </c>
      <c r="C12" s="4">
        <f>B12*7/$I$8</f>
        <v>1.5450264861683342E-3</v>
      </c>
      <c r="D12" s="4">
        <f>C12/SQRT(B12-1)</f>
        <v>3.4547842501100336E-4</v>
      </c>
      <c r="F12">
        <v>4</v>
      </c>
      <c r="G12" s="4">
        <f t="shared" ref="G12:G18" si="1">F12*7/$I$8</f>
        <v>2.942907592701589E-4</v>
      </c>
      <c r="H12" s="4">
        <f>G12/SQRT(F12-1)</f>
        <v>1.6990884908464561E-4</v>
      </c>
    </row>
    <row r="13" spans="1:18" x14ac:dyDescent="0.2">
      <c r="A13">
        <v>2</v>
      </c>
      <c r="B13">
        <v>17</v>
      </c>
      <c r="C13" s="4">
        <f t="shared" ref="C13:C18" si="2">B13*7/$I$8</f>
        <v>1.2507357268981753E-3</v>
      </c>
      <c r="D13" s="4">
        <f t="shared" ref="D13:D18" si="3">C13/SQRT(B13-1)</f>
        <v>3.1268393172454383E-4</v>
      </c>
      <c r="F13">
        <v>1</v>
      </c>
      <c r="G13" s="4">
        <f t="shared" si="1"/>
        <v>7.3572689817539725E-5</v>
      </c>
      <c r="H13" s="4">
        <f>G13</f>
        <v>7.3572689817539725E-5</v>
      </c>
    </row>
    <row r="14" spans="1:18" x14ac:dyDescent="0.2">
      <c r="A14">
        <v>3</v>
      </c>
      <c r="B14">
        <v>19</v>
      </c>
      <c r="C14" s="4">
        <f t="shared" si="2"/>
        <v>1.3978811065332548E-3</v>
      </c>
      <c r="D14" s="4">
        <f t="shared" si="3"/>
        <v>3.2948373657407305E-4</v>
      </c>
      <c r="F14">
        <v>2</v>
      </c>
      <c r="G14" s="4">
        <f t="shared" si="1"/>
        <v>1.4714537963507945E-4</v>
      </c>
      <c r="H14" s="4">
        <f>G14/SQRT(F14-1)</f>
        <v>1.4714537963507945E-4</v>
      </c>
    </row>
    <row r="15" spans="1:18" x14ac:dyDescent="0.2">
      <c r="A15">
        <v>4</v>
      </c>
      <c r="B15">
        <v>22</v>
      </c>
      <c r="C15" s="4">
        <f t="shared" si="2"/>
        <v>1.618599175985874E-3</v>
      </c>
      <c r="D15" s="4">
        <f t="shared" si="3"/>
        <v>3.5320729732135316E-4</v>
      </c>
      <c r="F15">
        <v>0</v>
      </c>
      <c r="G15" s="4">
        <f t="shared" si="1"/>
        <v>0</v>
      </c>
      <c r="H15" s="4"/>
    </row>
    <row r="16" spans="1:18" x14ac:dyDescent="0.2">
      <c r="A16">
        <v>5</v>
      </c>
      <c r="B16">
        <v>22</v>
      </c>
      <c r="C16" s="4">
        <f t="shared" si="2"/>
        <v>1.618599175985874E-3</v>
      </c>
      <c r="D16" s="4">
        <f t="shared" si="3"/>
        <v>3.5320729732135316E-4</v>
      </c>
      <c r="F16">
        <v>2</v>
      </c>
      <c r="G16" s="4">
        <f t="shared" si="1"/>
        <v>1.4714537963507945E-4</v>
      </c>
      <c r="H16" s="4">
        <f>G16/SQRT(F16-1)</f>
        <v>1.4714537963507945E-4</v>
      </c>
    </row>
    <row r="17" spans="1:13" x14ac:dyDescent="0.2">
      <c r="A17">
        <v>6</v>
      </c>
      <c r="B17">
        <v>15</v>
      </c>
      <c r="C17" s="4">
        <f t="shared" si="2"/>
        <v>1.1035903472630959E-3</v>
      </c>
      <c r="D17" s="4">
        <f t="shared" si="3"/>
        <v>2.9494692677209871E-4</v>
      </c>
      <c r="F17">
        <v>2</v>
      </c>
      <c r="G17" s="4">
        <f t="shared" si="1"/>
        <v>1.4714537963507945E-4</v>
      </c>
      <c r="H17" s="4">
        <f>G17/SQRT(F17-1)</f>
        <v>1.4714537963507945E-4</v>
      </c>
    </row>
    <row r="18" spans="1:13" x14ac:dyDescent="0.2">
      <c r="A18">
        <v>7</v>
      </c>
      <c r="B18">
        <v>26</v>
      </c>
      <c r="C18" s="4">
        <f t="shared" si="2"/>
        <v>1.9128899352560329E-3</v>
      </c>
      <c r="D18" s="4">
        <f t="shared" si="3"/>
        <v>3.8257798705120655E-4</v>
      </c>
      <c r="F18">
        <v>2</v>
      </c>
      <c r="G18" s="4">
        <f t="shared" si="1"/>
        <v>1.4714537963507945E-4</v>
      </c>
      <c r="H18" s="4">
        <f>G18/SQRT(F18-1)</f>
        <v>1.4714537963507945E-4</v>
      </c>
    </row>
    <row r="19" spans="1:13" x14ac:dyDescent="0.2">
      <c r="A19" t="s">
        <v>36</v>
      </c>
      <c r="B19" s="5">
        <f>SUM(B12:B18)</f>
        <v>142</v>
      </c>
      <c r="C19" s="6">
        <f>AVERAGE(C12:C18)</f>
        <v>1.4924745648700918E-3</v>
      </c>
      <c r="D19" s="6">
        <f>SQRT((D18^2+D17^2+D16^2+D15^2+D14^2+D13^2+D12^2)/7)</f>
        <v>3.3986478645909094E-4</v>
      </c>
      <c r="F19" s="5">
        <f>SUM(F12:F18)</f>
        <v>13</v>
      </c>
      <c r="G19" s="6">
        <f>AVERAGE(G12:G18)</f>
        <v>1.3663499537543093E-4</v>
      </c>
      <c r="H19" s="6">
        <f>G19/SQRT(F19-1)</f>
        <v>3.9443125680364162E-5</v>
      </c>
    </row>
    <row r="21" spans="1:13" x14ac:dyDescent="0.2">
      <c r="J21" t="s">
        <v>26</v>
      </c>
      <c r="M21" t="s">
        <v>29</v>
      </c>
    </row>
    <row r="22" spans="1:13" x14ac:dyDescent="0.2">
      <c r="A22" t="s">
        <v>32</v>
      </c>
      <c r="C22" t="s">
        <v>35</v>
      </c>
      <c r="D22">
        <v>131628</v>
      </c>
      <c r="F22" t="s">
        <v>29</v>
      </c>
      <c r="J22" t="s">
        <v>34</v>
      </c>
      <c r="K22" t="s">
        <v>33</v>
      </c>
      <c r="M22" t="s">
        <v>34</v>
      </c>
    </row>
    <row r="24" spans="1:13" x14ac:dyDescent="0.2">
      <c r="A24">
        <v>1</v>
      </c>
      <c r="B24">
        <v>22</v>
      </c>
      <c r="C24" s="4">
        <f t="shared" ref="C24:C30" si="4">B24/$D$22*7</f>
        <v>1.169963837481387E-3</v>
      </c>
      <c r="D24" s="4">
        <f>C24/SQRT(B24-1)</f>
        <v>2.5530704026759376E-4</v>
      </c>
      <c r="F24">
        <v>0</v>
      </c>
      <c r="G24">
        <f>F24*7/$D$22</f>
        <v>0</v>
      </c>
      <c r="J24" s="4">
        <f>C12/C24</f>
        <v>1.3205762748140617</v>
      </c>
      <c r="K24" s="4">
        <f t="shared" ref="K24:K30" si="5">J24*SQRT((D24/C24)^2+(D12/C12)^2)</f>
        <v>0.41260147266106428</v>
      </c>
    </row>
    <row r="25" spans="1:13" x14ac:dyDescent="0.2">
      <c r="A25">
        <v>2</v>
      </c>
      <c r="B25">
        <v>23</v>
      </c>
      <c r="C25" s="4">
        <f t="shared" si="4"/>
        <v>1.2231440119123591E-3</v>
      </c>
      <c r="D25" s="4">
        <f t="shared" ref="D25:D30" si="6">C25/SQRT(B25-1)</f>
        <v>2.6077517954579027E-4</v>
      </c>
      <c r="F25">
        <v>1</v>
      </c>
      <c r="G25">
        <f t="shared" ref="G25:G30" si="7">F25*7/$D$22</f>
        <v>5.3180174430972131E-5</v>
      </c>
      <c r="J25" s="4">
        <f t="shared" ref="J25:J30" si="8">C13/C25</f>
        <v>1.0225580264605778</v>
      </c>
      <c r="K25" s="4">
        <f t="shared" si="5"/>
        <v>0.33597613409643673</v>
      </c>
    </row>
    <row r="26" spans="1:13" x14ac:dyDescent="0.2">
      <c r="A26">
        <v>3</v>
      </c>
      <c r="B26">
        <v>29</v>
      </c>
      <c r="C26" s="4">
        <f t="shared" si="4"/>
        <v>1.5422250584981919E-3</v>
      </c>
      <c r="D26" s="4">
        <f t="shared" si="6"/>
        <v>2.9145314074844686E-4</v>
      </c>
      <c r="F26">
        <v>0</v>
      </c>
      <c r="G26">
        <f t="shared" si="7"/>
        <v>0</v>
      </c>
      <c r="J26" s="4">
        <f t="shared" si="8"/>
        <v>0.90640539059487324</v>
      </c>
      <c r="K26" s="4">
        <f t="shared" si="5"/>
        <v>0.27383321622963053</v>
      </c>
    </row>
    <row r="27" spans="1:13" x14ac:dyDescent="0.2">
      <c r="A27">
        <v>4</v>
      </c>
      <c r="B27">
        <v>26</v>
      </c>
      <c r="C27" s="4">
        <f t="shared" si="4"/>
        <v>1.3826845352052754E-3</v>
      </c>
      <c r="D27" s="4">
        <f t="shared" si="6"/>
        <v>2.7653690704105508E-4</v>
      </c>
      <c r="F27">
        <v>1</v>
      </c>
      <c r="G27">
        <f t="shared" si="7"/>
        <v>5.3180174430972131E-5</v>
      </c>
      <c r="J27" s="4">
        <f t="shared" si="8"/>
        <v>1.170620727124553</v>
      </c>
      <c r="K27" s="4">
        <f t="shared" si="5"/>
        <v>0.34650976153799323</v>
      </c>
    </row>
    <row r="28" spans="1:13" x14ac:dyDescent="0.2">
      <c r="A28">
        <v>5</v>
      </c>
      <c r="B28">
        <v>34</v>
      </c>
      <c r="C28" s="4">
        <f t="shared" si="4"/>
        <v>1.8081259306530527E-3</v>
      </c>
      <c r="D28" s="4">
        <f t="shared" si="6"/>
        <v>3.1475432368079808E-4</v>
      </c>
      <c r="F28">
        <v>1</v>
      </c>
      <c r="G28">
        <f t="shared" si="7"/>
        <v>5.3180174430972131E-5</v>
      </c>
      <c r="J28" s="4">
        <f t="shared" si="8"/>
        <v>0.89518055603642266</v>
      </c>
      <c r="K28" s="4">
        <f t="shared" si="5"/>
        <v>0.24988541185428448</v>
      </c>
    </row>
    <row r="29" spans="1:13" x14ac:dyDescent="0.2">
      <c r="A29">
        <v>6</v>
      </c>
      <c r="B29">
        <v>15</v>
      </c>
      <c r="C29" s="4">
        <f t="shared" si="4"/>
        <v>7.9770261646458192E-4</v>
      </c>
      <c r="D29" s="4">
        <f t="shared" si="6"/>
        <v>2.1319499195311453E-4</v>
      </c>
      <c r="F29">
        <v>0</v>
      </c>
      <c r="G29">
        <f t="shared" si="7"/>
        <v>0</v>
      </c>
      <c r="J29" s="4">
        <f t="shared" si="8"/>
        <v>1.3834608593290172</v>
      </c>
      <c r="K29" s="4">
        <f t="shared" si="5"/>
        <v>0.52289905462518471</v>
      </c>
    </row>
    <row r="30" spans="1:13" x14ac:dyDescent="0.2">
      <c r="A30">
        <v>7</v>
      </c>
      <c r="B30">
        <v>25</v>
      </c>
      <c r="C30" s="4">
        <f t="shared" si="4"/>
        <v>1.3295043607743035E-3</v>
      </c>
      <c r="D30" s="4">
        <f t="shared" si="6"/>
        <v>2.7138394122518019E-4</v>
      </c>
      <c r="F30">
        <v>1</v>
      </c>
      <c r="G30">
        <f t="shared" si="7"/>
        <v>5.3180174430972131E-5</v>
      </c>
      <c r="J30" s="4">
        <f t="shared" si="8"/>
        <v>1.4387992937021776</v>
      </c>
      <c r="K30" s="4">
        <f t="shared" si="5"/>
        <v>0.41117114638216928</v>
      </c>
    </row>
    <row r="31" spans="1:13" x14ac:dyDescent="0.2">
      <c r="A31" t="s">
        <v>36</v>
      </c>
      <c r="B31" s="5">
        <f>SUM(B24:B30)</f>
        <v>174</v>
      </c>
      <c r="C31" s="6">
        <f>AVERAGE(C24:C30)</f>
        <v>1.3219071929984501E-3</v>
      </c>
      <c r="D31" s="6">
        <f>SQRT((D30^2+D29^2+D28^2+D27^2+D26^2+D25^2+D24^2)/7)</f>
        <v>2.7065386585343445E-4</v>
      </c>
      <c r="F31" s="5">
        <f>SUM(F24:F30)</f>
        <v>4</v>
      </c>
      <c r="G31" s="4">
        <f>AVERAGE(G24:G30)</f>
        <v>3.0388671103412646E-5</v>
      </c>
      <c r="H31" s="4">
        <f>G31/SQRT(F31-1)</f>
        <v>1.7544907441870293E-5</v>
      </c>
    </row>
    <row r="32" spans="1:13" x14ac:dyDescent="0.2">
      <c r="J32" s="4">
        <f>AVERAGE(J24:J30)</f>
        <v>1.1625144468659545</v>
      </c>
    </row>
    <row r="34" spans="9:14" x14ac:dyDescent="0.2">
      <c r="I34" t="s">
        <v>37</v>
      </c>
      <c r="J34" s="4">
        <f>C19/C31</f>
        <v>1.1290312760041405</v>
      </c>
      <c r="K34" s="4">
        <f>J34*SQRT((D19/C19)^2+(D31/C31)^2)</f>
        <v>0.34574256430876738</v>
      </c>
      <c r="L34" t="s">
        <v>37</v>
      </c>
      <c r="M34" s="4">
        <f>G19/G31</f>
        <v>4.4962477928193056</v>
      </c>
      <c r="N34" s="4">
        <f>M34*SQRT((H19/G19)^2+(H31/G31)^2)</f>
        <v>2.902315470335171</v>
      </c>
    </row>
    <row r="35" spans="9:14" x14ac:dyDescent="0.2">
      <c r="I35" t="s">
        <v>38</v>
      </c>
      <c r="J35" s="5">
        <v>1.35</v>
      </c>
      <c r="M35" s="5">
        <v>2.39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2025-12-06T01:32:38Z</dcterms:created>
  <dcterms:modified xsi:type="dcterms:W3CDTF">2026-04-04T19:00:05Z</dcterms:modified>
</cp:coreProperties>
</file>
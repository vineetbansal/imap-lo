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schwadron/Computer/IMAP_Lo/quickpipeline/diagnostics/"/>
    </mc:Choice>
  </mc:AlternateContent>
  <xr:revisionPtr revIDLastSave="0" documentId="13_ncr:1_{644A1468-7F06-8940-A759-AE2A7E84E9B1}" xr6:coauthVersionLast="47" xr6:coauthVersionMax="47" xr10:uidLastSave="{00000000-0000-0000-0000-000000000000}"/>
  <bookViews>
    <workbookView xWindow="17780" yWindow="540" windowWidth="27240" windowHeight="16440" xr2:uid="{28F68DE2-E6CE-D54E-AC57-BA1A6B729D7D}"/>
  </bookViews>
  <sheets>
    <sheet name="goodrate_cu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17" i="1" l="1"/>
  <c r="AM117" i="1"/>
  <c r="AK117" i="1"/>
  <c r="AI117" i="1"/>
  <c r="AG117" i="1"/>
  <c r="AE117" i="1"/>
  <c r="AC117" i="1"/>
  <c r="AA117" i="1"/>
  <c r="Y117" i="1"/>
  <c r="W117" i="1"/>
  <c r="U117" i="1"/>
  <c r="S117" i="1"/>
  <c r="I117" i="1"/>
  <c r="R117" i="1"/>
  <c r="M117" i="1"/>
  <c r="P117" i="1"/>
  <c r="N117" i="1"/>
  <c r="K117" i="1"/>
  <c r="K118" i="1"/>
  <c r="I118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R118" i="1" s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M118" i="1" l="1"/>
</calcChain>
</file>

<file path=xl/sharedStrings.xml><?xml version="1.0" encoding="utf-8"?>
<sst xmlns="http://schemas.openxmlformats.org/spreadsheetml/2006/main" count="44" uniqueCount="28">
  <si>
    <t>date</t>
  </si>
  <si>
    <t>yyyymmdd</t>
  </si>
  <si>
    <t>repoint</t>
  </si>
  <si>
    <t>ngood</t>
  </si>
  <si>
    <t>ntotal</t>
  </si>
  <si>
    <t>expo_1stp</t>
  </si>
  <si>
    <t>expo_3stp</t>
  </si>
  <si>
    <t>pivot</t>
  </si>
  <si>
    <t>Nram</t>
  </si>
  <si>
    <t>Unc</t>
  </si>
  <si>
    <t>Narm</t>
  </si>
  <si>
    <t>Sram</t>
  </si>
  <si>
    <t>Sarm</t>
  </si>
  <si>
    <t>Nram5</t>
  </si>
  <si>
    <t>Nram6</t>
  </si>
  <si>
    <t>Nram7</t>
  </si>
  <si>
    <t>Narm5</t>
  </si>
  <si>
    <t>Narm6</t>
  </si>
  <si>
    <t>Narm7</t>
  </si>
  <si>
    <t>Sram5</t>
  </si>
  <si>
    <t>Sram6</t>
  </si>
  <si>
    <t>Sram7</t>
  </si>
  <si>
    <t>Sarm5</t>
  </si>
  <si>
    <t>Sarm6</t>
  </si>
  <si>
    <t>Sarm7</t>
  </si>
  <si>
    <t>cut90</t>
  </si>
  <si>
    <t>cutoff</t>
  </si>
  <si>
    <t>Relativ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</si>
</sst>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  <xf numFmtId="0" fontId="0" fillId="34" borderId="0" xfId="0" applyFill="1"/>
    <xf numFmtId="11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2CA78-0CDF-8D49-8D60-20285F81B45F}">
  <dimension ref="A1:AT118"/>
  <sheetViews>
    <sheetView tabSelected="1" topLeftCell="L94" workbookViewId="0">
      <selection activeCell="O99" sqref="O99"/>
    </sheetView>
  </sheetViews>
  <sheetFormatPr baseColWidth="10" defaultRowHeight="16" x14ac:dyDescent="0.2"/>
  <sheetData>
    <row r="1" spans="1:4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</v>
      </c>
      <c r="M1" s="2" t="s">
        <v>27</v>
      </c>
      <c r="N1" t="s">
        <v>11</v>
      </c>
      <c r="O1" t="s">
        <v>9</v>
      </c>
      <c r="P1" t="s">
        <v>12</v>
      </c>
      <c r="Q1" t="s">
        <v>9</v>
      </c>
      <c r="R1" s="2" t="s">
        <v>27</v>
      </c>
      <c r="S1" t="s">
        <v>13</v>
      </c>
      <c r="T1" t="s">
        <v>9</v>
      </c>
      <c r="U1" t="s">
        <v>14</v>
      </c>
      <c r="V1" t="s">
        <v>9</v>
      </c>
      <c r="W1" t="s">
        <v>15</v>
      </c>
      <c r="X1" t="s">
        <v>9</v>
      </c>
      <c r="Y1" t="s">
        <v>16</v>
      </c>
      <c r="Z1" t="s">
        <v>9</v>
      </c>
      <c r="AA1" t="s">
        <v>17</v>
      </c>
      <c r="AB1" t="s">
        <v>9</v>
      </c>
      <c r="AC1" t="s">
        <v>18</v>
      </c>
      <c r="AD1" t="s">
        <v>9</v>
      </c>
      <c r="AE1" t="s">
        <v>19</v>
      </c>
      <c r="AF1" t="s">
        <v>9</v>
      </c>
      <c r="AG1" t="s">
        <v>20</v>
      </c>
      <c r="AH1" t="s">
        <v>9</v>
      </c>
      <c r="AI1" t="s">
        <v>21</v>
      </c>
      <c r="AJ1" t="s">
        <v>9</v>
      </c>
      <c r="AK1" t="s">
        <v>22</v>
      </c>
      <c r="AL1" t="s">
        <v>9</v>
      </c>
      <c r="AM1" t="s">
        <v>23</v>
      </c>
      <c r="AN1" t="s">
        <v>9</v>
      </c>
      <c r="AO1" t="s">
        <v>24</v>
      </c>
      <c r="AP1" t="s">
        <v>9</v>
      </c>
      <c r="AQ1" t="s">
        <v>25</v>
      </c>
      <c r="AR1" s="1">
        <v>2.8E-3</v>
      </c>
      <c r="AS1" t="s">
        <v>26</v>
      </c>
      <c r="AT1" s="1">
        <v>4.1999999999999997E-3</v>
      </c>
    </row>
    <row r="2" spans="1:46" x14ac:dyDescent="0.2">
      <c r="A2">
        <v>2025307</v>
      </c>
      <c r="B2">
        <v>20251103</v>
      </c>
      <c r="C2">
        <v>37</v>
      </c>
      <c r="D2">
        <v>0</v>
      </c>
      <c r="E2">
        <v>204</v>
      </c>
      <c r="F2">
        <v>0</v>
      </c>
      <c r="G2">
        <v>0</v>
      </c>
      <c r="H2">
        <v>90.096143999999995</v>
      </c>
      <c r="I2" s="1">
        <v>0</v>
      </c>
      <c r="J2" s="1">
        <v>0</v>
      </c>
      <c r="K2" s="1">
        <v>0</v>
      </c>
      <c r="L2" s="1">
        <v>0</v>
      </c>
      <c r="M2" s="3">
        <f>ABS((I2-K2)*2/(I2+K2+0.0000000001))</f>
        <v>0</v>
      </c>
      <c r="N2" s="1">
        <v>0</v>
      </c>
      <c r="O2" s="1">
        <v>0</v>
      </c>
      <c r="P2" s="1">
        <v>0</v>
      </c>
      <c r="Q2" s="1">
        <v>0</v>
      </c>
      <c r="R2" s="3">
        <f>ABS((N2-P2)*2/(N2+P2+0.0000000001))</f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</row>
    <row r="3" spans="1:46" x14ac:dyDescent="0.2">
      <c r="A3">
        <v>2025310</v>
      </c>
      <c r="B3">
        <v>20251106</v>
      </c>
      <c r="C3">
        <v>40</v>
      </c>
      <c r="D3">
        <v>0</v>
      </c>
      <c r="E3">
        <v>204</v>
      </c>
      <c r="F3">
        <v>0</v>
      </c>
      <c r="G3">
        <v>0</v>
      </c>
      <c r="H3">
        <v>90.096143999999995</v>
      </c>
      <c r="I3" s="1">
        <v>0</v>
      </c>
      <c r="J3" s="1">
        <v>0</v>
      </c>
      <c r="K3" s="1">
        <v>0</v>
      </c>
      <c r="L3" s="1">
        <v>0</v>
      </c>
      <c r="M3" s="3">
        <f t="shared" ref="M3:M66" si="0">ABS((I3-K3)*2/(I3+K3+0.0000000001))</f>
        <v>0</v>
      </c>
      <c r="N3" s="1">
        <v>0</v>
      </c>
      <c r="O3" s="1">
        <v>0</v>
      </c>
      <c r="P3" s="1">
        <v>0</v>
      </c>
      <c r="Q3" s="1">
        <v>0</v>
      </c>
      <c r="R3" s="3">
        <f t="shared" ref="R3:R66" si="1">ABS((N3-P3)*2/(N3+P3+0.0000000001))</f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</row>
    <row r="4" spans="1:46" x14ac:dyDescent="0.2">
      <c r="A4">
        <v>2025311</v>
      </c>
      <c r="B4">
        <v>20251107</v>
      </c>
      <c r="C4">
        <v>41</v>
      </c>
      <c r="D4">
        <v>0</v>
      </c>
      <c r="E4">
        <v>204</v>
      </c>
      <c r="F4">
        <v>0</v>
      </c>
      <c r="G4">
        <v>0</v>
      </c>
      <c r="H4">
        <v>90.096143999999995</v>
      </c>
      <c r="I4" s="1">
        <v>0</v>
      </c>
      <c r="J4" s="1">
        <v>0</v>
      </c>
      <c r="K4" s="1">
        <v>0</v>
      </c>
      <c r="L4" s="1">
        <v>0</v>
      </c>
      <c r="M4" s="3">
        <f t="shared" si="0"/>
        <v>0</v>
      </c>
      <c r="N4" s="1">
        <v>0</v>
      </c>
      <c r="O4" s="1">
        <v>0</v>
      </c>
      <c r="P4" s="1">
        <v>0</v>
      </c>
      <c r="Q4" s="1">
        <v>0</v>
      </c>
      <c r="R4" s="3">
        <f t="shared" si="1"/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</row>
    <row r="5" spans="1:46" x14ac:dyDescent="0.2">
      <c r="A5">
        <v>2025312</v>
      </c>
      <c r="B5">
        <v>20251108</v>
      </c>
      <c r="C5">
        <v>42</v>
      </c>
      <c r="D5">
        <v>170</v>
      </c>
      <c r="E5">
        <v>205</v>
      </c>
      <c r="F5">
        <v>510</v>
      </c>
      <c r="G5">
        <v>1530</v>
      </c>
      <c r="H5">
        <v>90.096143999999995</v>
      </c>
      <c r="I5" s="1">
        <v>6.5359480000000002E-4</v>
      </c>
      <c r="J5" s="1">
        <v>6.5359480000000002E-4</v>
      </c>
      <c r="K5" s="1">
        <v>1.30719E-3</v>
      </c>
      <c r="L5" s="1">
        <v>9.2432259999999998E-4</v>
      </c>
      <c r="M5" s="3">
        <f t="shared" si="0"/>
        <v>0.66666690466659539</v>
      </c>
      <c r="N5" s="1">
        <v>6.5359480000000002E-4</v>
      </c>
      <c r="O5" s="1">
        <v>6.5359480000000002E-4</v>
      </c>
      <c r="P5" s="1">
        <v>1.30719E-3</v>
      </c>
      <c r="Q5" s="1">
        <v>9.2432259999999998E-4</v>
      </c>
      <c r="R5" s="3">
        <f t="shared" si="1"/>
        <v>0.66666690466659539</v>
      </c>
      <c r="S5" s="1">
        <v>0</v>
      </c>
      <c r="T5" s="1">
        <v>0</v>
      </c>
      <c r="U5" s="1">
        <v>0</v>
      </c>
      <c r="V5" s="1">
        <v>0</v>
      </c>
      <c r="W5" s="1">
        <v>1.9607840000000001E-3</v>
      </c>
      <c r="X5" s="1">
        <v>1.9607840000000001E-3</v>
      </c>
      <c r="Y5" s="1">
        <v>1.9607840000000001E-3</v>
      </c>
      <c r="Z5" s="1">
        <v>1.9607840000000001E-3</v>
      </c>
      <c r="AA5" s="1">
        <v>0</v>
      </c>
      <c r="AB5" s="1">
        <v>0</v>
      </c>
      <c r="AC5" s="1">
        <v>1.9607840000000001E-3</v>
      </c>
      <c r="AD5" s="1">
        <v>1.9607840000000001E-3</v>
      </c>
      <c r="AE5" s="1">
        <v>0</v>
      </c>
      <c r="AF5" s="1">
        <v>0</v>
      </c>
      <c r="AG5" s="1">
        <v>0</v>
      </c>
      <c r="AH5" s="1">
        <v>0</v>
      </c>
      <c r="AI5" s="1">
        <v>1.9607840000000001E-3</v>
      </c>
      <c r="AJ5" s="1">
        <v>1.9607840000000001E-3</v>
      </c>
      <c r="AK5" s="1">
        <v>1.9607840000000001E-3</v>
      </c>
      <c r="AL5" s="1">
        <v>1.9607840000000001E-3</v>
      </c>
      <c r="AM5" s="1">
        <v>1.9607840000000001E-3</v>
      </c>
      <c r="AN5" s="1">
        <v>1.9607840000000001E-3</v>
      </c>
      <c r="AO5" s="1">
        <v>0</v>
      </c>
      <c r="AP5" s="1">
        <v>0</v>
      </c>
    </row>
    <row r="6" spans="1:46" x14ac:dyDescent="0.2">
      <c r="A6">
        <v>2025313</v>
      </c>
      <c r="B6">
        <v>20251109</v>
      </c>
      <c r="C6">
        <v>43</v>
      </c>
      <c r="D6">
        <v>189</v>
      </c>
      <c r="E6">
        <v>204</v>
      </c>
      <c r="F6">
        <v>567</v>
      </c>
      <c r="G6">
        <v>1701</v>
      </c>
      <c r="H6">
        <v>90.096143999999995</v>
      </c>
      <c r="I6" s="1">
        <v>2.3515580000000001E-3</v>
      </c>
      <c r="J6" s="1">
        <v>1.1757790000000001E-3</v>
      </c>
      <c r="K6" s="1">
        <v>2.3515580000000001E-3</v>
      </c>
      <c r="L6" s="1">
        <v>1.1757790000000001E-3</v>
      </c>
      <c r="M6" s="3">
        <f t="shared" si="0"/>
        <v>0</v>
      </c>
      <c r="N6" s="1">
        <v>1.1757790000000001E-3</v>
      </c>
      <c r="O6" s="1">
        <v>8.3140130000000005E-4</v>
      </c>
      <c r="P6" s="1">
        <v>3.5273370000000002E-3</v>
      </c>
      <c r="Q6" s="1">
        <v>1.440029E-3</v>
      </c>
      <c r="R6" s="3">
        <f t="shared" si="1"/>
        <v>0.99999997873750135</v>
      </c>
      <c r="S6" s="1">
        <v>0</v>
      </c>
      <c r="T6" s="1">
        <v>0</v>
      </c>
      <c r="U6" s="1">
        <v>3.5273370000000002E-3</v>
      </c>
      <c r="V6" s="1">
        <v>2.4942039999999999E-3</v>
      </c>
      <c r="W6" s="1">
        <v>3.5273370000000002E-3</v>
      </c>
      <c r="X6" s="1">
        <v>2.4942039999999999E-3</v>
      </c>
      <c r="Y6" s="1">
        <v>1.7636679999999999E-3</v>
      </c>
      <c r="Z6" s="1">
        <v>1.7636679999999999E-3</v>
      </c>
      <c r="AA6" s="1">
        <v>1.7636679999999999E-3</v>
      </c>
      <c r="AB6" s="1">
        <v>1.7636679999999999E-3</v>
      </c>
      <c r="AC6" s="1">
        <v>3.5273370000000002E-3</v>
      </c>
      <c r="AD6" s="1">
        <v>2.4942039999999999E-3</v>
      </c>
      <c r="AE6" s="1">
        <v>3.5273370000000002E-3</v>
      </c>
      <c r="AF6" s="1">
        <v>2.4942039999999999E-3</v>
      </c>
      <c r="AG6" s="1">
        <v>0</v>
      </c>
      <c r="AH6" s="1">
        <v>0</v>
      </c>
      <c r="AI6" s="1">
        <v>0</v>
      </c>
      <c r="AJ6" s="1">
        <v>0</v>
      </c>
      <c r="AK6" s="1">
        <v>3.5273370000000002E-3</v>
      </c>
      <c r="AL6" s="1">
        <v>2.4942039999999999E-3</v>
      </c>
      <c r="AM6" s="1">
        <v>1.7636679999999999E-3</v>
      </c>
      <c r="AN6" s="1">
        <v>1.7636679999999999E-3</v>
      </c>
      <c r="AO6" s="1">
        <v>5.2910049999999997E-3</v>
      </c>
      <c r="AP6" s="1">
        <v>3.0547629999999998E-3</v>
      </c>
    </row>
    <row r="7" spans="1:46" x14ac:dyDescent="0.2">
      <c r="A7">
        <v>2025314</v>
      </c>
      <c r="B7">
        <v>20251110</v>
      </c>
      <c r="C7">
        <v>44</v>
      </c>
      <c r="D7">
        <v>32</v>
      </c>
      <c r="E7">
        <v>204</v>
      </c>
      <c r="F7">
        <v>96</v>
      </c>
      <c r="G7">
        <v>288</v>
      </c>
      <c r="H7">
        <v>90.096143999999995</v>
      </c>
      <c r="I7" s="1">
        <v>0</v>
      </c>
      <c r="J7" s="1">
        <v>0</v>
      </c>
      <c r="K7" s="1">
        <v>3.4722220000000001E-3</v>
      </c>
      <c r="L7" s="1">
        <v>3.4722220000000001E-3</v>
      </c>
      <c r="M7" s="3">
        <f t="shared" si="0"/>
        <v>1.9999999423999979</v>
      </c>
      <c r="N7" s="1">
        <v>0</v>
      </c>
      <c r="O7" s="1">
        <v>0</v>
      </c>
      <c r="P7" s="1">
        <v>0</v>
      </c>
      <c r="Q7" s="1">
        <v>0</v>
      </c>
      <c r="R7" s="3">
        <f t="shared" si="1"/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1.0416669999999999E-2</v>
      </c>
      <c r="Z7" s="1">
        <v>1.0416669999999999E-2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</row>
    <row r="8" spans="1:46" x14ac:dyDescent="0.2">
      <c r="A8">
        <v>2025315</v>
      </c>
      <c r="B8">
        <v>20251111</v>
      </c>
      <c r="C8">
        <v>45</v>
      </c>
      <c r="D8">
        <v>0</v>
      </c>
      <c r="E8">
        <v>116</v>
      </c>
      <c r="F8">
        <v>0</v>
      </c>
      <c r="G8">
        <v>0</v>
      </c>
      <c r="H8">
        <v>90.096143999999995</v>
      </c>
      <c r="I8" s="1">
        <v>0</v>
      </c>
      <c r="J8" s="1">
        <v>0</v>
      </c>
      <c r="K8" s="1">
        <v>0</v>
      </c>
      <c r="L8" s="1">
        <v>0</v>
      </c>
      <c r="M8" s="3">
        <f t="shared" si="0"/>
        <v>0</v>
      </c>
      <c r="N8" s="1">
        <v>0</v>
      </c>
      <c r="O8" s="1">
        <v>0</v>
      </c>
      <c r="P8" s="1">
        <v>0</v>
      </c>
      <c r="Q8" s="1">
        <v>0</v>
      </c>
      <c r="R8" s="3">
        <f t="shared" si="1"/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</row>
    <row r="9" spans="1:46" x14ac:dyDescent="0.2">
      <c r="A9">
        <v>2025318</v>
      </c>
      <c r="B9">
        <v>20251114</v>
      </c>
      <c r="C9">
        <v>48</v>
      </c>
      <c r="D9">
        <v>0</v>
      </c>
      <c r="E9">
        <v>124</v>
      </c>
      <c r="F9">
        <v>0</v>
      </c>
      <c r="G9">
        <v>0</v>
      </c>
      <c r="H9">
        <v>90.096143999999995</v>
      </c>
      <c r="I9" s="1">
        <v>0</v>
      </c>
      <c r="J9" s="1">
        <v>0</v>
      </c>
      <c r="K9" s="1">
        <v>0</v>
      </c>
      <c r="L9" s="1">
        <v>0</v>
      </c>
      <c r="M9" s="3">
        <f t="shared" si="0"/>
        <v>0</v>
      </c>
      <c r="N9" s="1">
        <v>0</v>
      </c>
      <c r="O9" s="1">
        <v>0</v>
      </c>
      <c r="P9" s="1">
        <v>0</v>
      </c>
      <c r="Q9" s="1">
        <v>0</v>
      </c>
      <c r="R9" s="3">
        <f t="shared" si="1"/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</row>
    <row r="10" spans="1:46" x14ac:dyDescent="0.2">
      <c r="A10">
        <v>2025319</v>
      </c>
      <c r="B10">
        <v>20251115</v>
      </c>
      <c r="C10">
        <v>49</v>
      </c>
      <c r="D10">
        <v>0</v>
      </c>
      <c r="E10">
        <v>205</v>
      </c>
      <c r="F10">
        <v>0</v>
      </c>
      <c r="G10">
        <v>0</v>
      </c>
      <c r="H10">
        <v>90.096143999999995</v>
      </c>
      <c r="I10" s="1">
        <v>0</v>
      </c>
      <c r="J10" s="1">
        <v>0</v>
      </c>
      <c r="K10" s="1">
        <v>0</v>
      </c>
      <c r="L10" s="1">
        <v>0</v>
      </c>
      <c r="M10" s="3">
        <f t="shared" si="0"/>
        <v>0</v>
      </c>
      <c r="N10" s="1">
        <v>0</v>
      </c>
      <c r="O10" s="1">
        <v>0</v>
      </c>
      <c r="P10" s="1">
        <v>0</v>
      </c>
      <c r="Q10" s="1">
        <v>0</v>
      </c>
      <c r="R10" s="3">
        <f t="shared" si="1"/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</row>
    <row r="11" spans="1:46" x14ac:dyDescent="0.2">
      <c r="A11">
        <v>2025321</v>
      </c>
      <c r="B11">
        <v>20251117</v>
      </c>
      <c r="C11">
        <v>51</v>
      </c>
      <c r="D11">
        <v>0</v>
      </c>
      <c r="E11">
        <v>204</v>
      </c>
      <c r="F11">
        <v>0</v>
      </c>
      <c r="G11">
        <v>0</v>
      </c>
      <c r="H11">
        <v>90.096143999999995</v>
      </c>
      <c r="I11" s="1">
        <v>0</v>
      </c>
      <c r="J11" s="1">
        <v>0</v>
      </c>
      <c r="K11" s="1">
        <v>0</v>
      </c>
      <c r="L11" s="1">
        <v>0</v>
      </c>
      <c r="M11" s="3">
        <f t="shared" si="0"/>
        <v>0</v>
      </c>
      <c r="N11" s="1">
        <v>0</v>
      </c>
      <c r="O11" s="1">
        <v>0</v>
      </c>
      <c r="P11" s="1">
        <v>0</v>
      </c>
      <c r="Q11" s="1">
        <v>0</v>
      </c>
      <c r="R11" s="3">
        <f t="shared" si="1"/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</row>
    <row r="12" spans="1:46" x14ac:dyDescent="0.2">
      <c r="A12">
        <v>2025322</v>
      </c>
      <c r="B12">
        <v>20251118</v>
      </c>
      <c r="C12">
        <v>52</v>
      </c>
      <c r="D12">
        <v>0</v>
      </c>
      <c r="E12">
        <v>204</v>
      </c>
      <c r="F12">
        <v>0</v>
      </c>
      <c r="G12">
        <v>0</v>
      </c>
      <c r="H12">
        <v>90.096143999999995</v>
      </c>
      <c r="I12" s="1">
        <v>0</v>
      </c>
      <c r="J12" s="1">
        <v>0</v>
      </c>
      <c r="K12" s="1">
        <v>0</v>
      </c>
      <c r="L12" s="1">
        <v>0</v>
      </c>
      <c r="M12" s="3">
        <f t="shared" si="0"/>
        <v>0</v>
      </c>
      <c r="N12" s="1">
        <v>0</v>
      </c>
      <c r="O12" s="1">
        <v>0</v>
      </c>
      <c r="P12" s="1">
        <v>0</v>
      </c>
      <c r="Q12" s="1">
        <v>0</v>
      </c>
      <c r="R12" s="3">
        <f t="shared" si="1"/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</row>
    <row r="13" spans="1:46" x14ac:dyDescent="0.2">
      <c r="A13">
        <v>2025323</v>
      </c>
      <c r="B13">
        <v>20251119</v>
      </c>
      <c r="C13">
        <v>53</v>
      </c>
      <c r="D13">
        <v>0</v>
      </c>
      <c r="E13">
        <v>205</v>
      </c>
      <c r="F13">
        <v>0</v>
      </c>
      <c r="G13">
        <v>0</v>
      </c>
      <c r="H13">
        <v>90.096143999999995</v>
      </c>
      <c r="I13" s="1">
        <v>0</v>
      </c>
      <c r="J13" s="1">
        <v>0</v>
      </c>
      <c r="K13" s="1">
        <v>0</v>
      </c>
      <c r="L13" s="1">
        <v>0</v>
      </c>
      <c r="M13" s="3">
        <f t="shared" si="0"/>
        <v>0</v>
      </c>
      <c r="N13" s="1">
        <v>0</v>
      </c>
      <c r="O13" s="1">
        <v>0</v>
      </c>
      <c r="P13" s="1">
        <v>0</v>
      </c>
      <c r="Q13" s="1">
        <v>0</v>
      </c>
      <c r="R13" s="3">
        <f t="shared" si="1"/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</row>
    <row r="14" spans="1:46" x14ac:dyDescent="0.2">
      <c r="A14">
        <v>2025324</v>
      </c>
      <c r="B14">
        <v>20251120</v>
      </c>
      <c r="C14">
        <v>54</v>
      </c>
      <c r="D14">
        <v>0</v>
      </c>
      <c r="E14">
        <v>174</v>
      </c>
      <c r="F14">
        <v>0</v>
      </c>
      <c r="G14">
        <v>0</v>
      </c>
      <c r="H14">
        <v>90.096143999999995</v>
      </c>
      <c r="I14" s="1">
        <v>0</v>
      </c>
      <c r="J14" s="1">
        <v>0</v>
      </c>
      <c r="K14" s="1">
        <v>0</v>
      </c>
      <c r="L14" s="1">
        <v>0</v>
      </c>
      <c r="M14" s="3">
        <f t="shared" si="0"/>
        <v>0</v>
      </c>
      <c r="N14" s="1">
        <v>0</v>
      </c>
      <c r="O14" s="1">
        <v>0</v>
      </c>
      <c r="P14" s="1">
        <v>0</v>
      </c>
      <c r="Q14" s="1">
        <v>0</v>
      </c>
      <c r="R14" s="3">
        <f t="shared" si="1"/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</row>
    <row r="15" spans="1:46" x14ac:dyDescent="0.2">
      <c r="A15">
        <v>2025328</v>
      </c>
      <c r="B15">
        <v>20251124</v>
      </c>
      <c r="C15">
        <v>57</v>
      </c>
      <c r="D15">
        <v>0</v>
      </c>
      <c r="E15">
        <v>40</v>
      </c>
      <c r="F15">
        <v>0</v>
      </c>
      <c r="G15">
        <v>0</v>
      </c>
      <c r="H15">
        <v>90.096143999999995</v>
      </c>
      <c r="I15" s="1">
        <v>0</v>
      </c>
      <c r="J15" s="1">
        <v>0</v>
      </c>
      <c r="K15" s="1">
        <v>0</v>
      </c>
      <c r="L15" s="1">
        <v>0</v>
      </c>
      <c r="M15" s="3">
        <f t="shared" si="0"/>
        <v>0</v>
      </c>
      <c r="N15" s="1">
        <v>0</v>
      </c>
      <c r="O15" s="1">
        <v>0</v>
      </c>
      <c r="P15" s="1">
        <v>0</v>
      </c>
      <c r="Q15" s="1">
        <v>0</v>
      </c>
      <c r="R15" s="3">
        <f t="shared" si="1"/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</row>
    <row r="16" spans="1:46" x14ac:dyDescent="0.2">
      <c r="A16">
        <v>2025328</v>
      </c>
      <c r="B16">
        <v>20251124</v>
      </c>
      <c r="C16">
        <v>58</v>
      </c>
      <c r="D16">
        <v>0</v>
      </c>
      <c r="E16">
        <v>204</v>
      </c>
      <c r="F16">
        <v>0</v>
      </c>
      <c r="G16">
        <v>0</v>
      </c>
      <c r="H16">
        <v>90.096143999999995</v>
      </c>
      <c r="I16" s="1">
        <v>0</v>
      </c>
      <c r="J16" s="1">
        <v>0</v>
      </c>
      <c r="K16" s="1">
        <v>0</v>
      </c>
      <c r="L16" s="1">
        <v>0</v>
      </c>
      <c r="M16" s="3">
        <f t="shared" si="0"/>
        <v>0</v>
      </c>
      <c r="N16" s="1">
        <v>0</v>
      </c>
      <c r="O16" s="1">
        <v>0</v>
      </c>
      <c r="P16" s="1">
        <v>0</v>
      </c>
      <c r="Q16" s="1">
        <v>0</v>
      </c>
      <c r="R16" s="3">
        <f t="shared" si="1"/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</row>
    <row r="17" spans="1:42" x14ac:dyDescent="0.2">
      <c r="A17">
        <v>2025329</v>
      </c>
      <c r="B17">
        <v>20251125</v>
      </c>
      <c r="C17">
        <v>59</v>
      </c>
      <c r="D17">
        <v>0</v>
      </c>
      <c r="E17">
        <v>156</v>
      </c>
      <c r="F17">
        <v>0</v>
      </c>
      <c r="G17">
        <v>0</v>
      </c>
      <c r="H17">
        <v>90.096143999999995</v>
      </c>
      <c r="I17" s="1">
        <v>0</v>
      </c>
      <c r="J17" s="1">
        <v>0</v>
      </c>
      <c r="K17" s="1">
        <v>0</v>
      </c>
      <c r="L17" s="1">
        <v>0</v>
      </c>
      <c r="M17" s="3">
        <f t="shared" si="0"/>
        <v>0</v>
      </c>
      <c r="N17" s="1">
        <v>0</v>
      </c>
      <c r="O17" s="1">
        <v>0</v>
      </c>
      <c r="P17" s="1">
        <v>0</v>
      </c>
      <c r="Q17" s="1">
        <v>0</v>
      </c>
      <c r="R17" s="3">
        <f t="shared" si="1"/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</row>
    <row r="18" spans="1:42" x14ac:dyDescent="0.2">
      <c r="A18">
        <v>2025330</v>
      </c>
      <c r="B18">
        <v>20251126</v>
      </c>
      <c r="C18">
        <v>60</v>
      </c>
      <c r="D18">
        <v>10</v>
      </c>
      <c r="E18">
        <v>212</v>
      </c>
      <c r="F18">
        <v>30</v>
      </c>
      <c r="G18">
        <v>90</v>
      </c>
      <c r="H18">
        <v>90.096143999999995</v>
      </c>
      <c r="I18" s="1">
        <v>0</v>
      </c>
      <c r="J18" s="1">
        <v>0</v>
      </c>
      <c r="K18" s="1">
        <v>0</v>
      </c>
      <c r="L18" s="1">
        <v>0</v>
      </c>
      <c r="M18" s="3">
        <f t="shared" si="0"/>
        <v>0</v>
      </c>
      <c r="N18" s="1">
        <v>0</v>
      </c>
      <c r="O18" s="1">
        <v>0</v>
      </c>
      <c r="P18" s="1">
        <v>0</v>
      </c>
      <c r="Q18" s="1">
        <v>0</v>
      </c>
      <c r="R18" s="3">
        <f t="shared" si="1"/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</row>
    <row r="19" spans="1:42" x14ac:dyDescent="0.2">
      <c r="A19">
        <v>2025331</v>
      </c>
      <c r="B19">
        <v>20251127</v>
      </c>
      <c r="C19">
        <v>61</v>
      </c>
      <c r="D19">
        <v>9</v>
      </c>
      <c r="E19">
        <v>202</v>
      </c>
      <c r="F19">
        <v>27</v>
      </c>
      <c r="G19">
        <v>81</v>
      </c>
      <c r="H19">
        <v>90.096143999999995</v>
      </c>
      <c r="I19" s="1">
        <v>0</v>
      </c>
      <c r="J19" s="1">
        <v>0</v>
      </c>
      <c r="K19" s="1">
        <v>0</v>
      </c>
      <c r="L19" s="1">
        <v>0</v>
      </c>
      <c r="M19" s="3">
        <f t="shared" si="0"/>
        <v>0</v>
      </c>
      <c r="N19" s="1">
        <v>1.234568E-2</v>
      </c>
      <c r="O19" s="1">
        <v>1.234568E-2</v>
      </c>
      <c r="P19" s="1">
        <v>0</v>
      </c>
      <c r="Q19" s="1">
        <v>0</v>
      </c>
      <c r="R19" s="3">
        <f t="shared" si="1"/>
        <v>1.9999999838000015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3.703704E-2</v>
      </c>
      <c r="AJ19" s="1">
        <v>3.703704E-2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</row>
    <row r="20" spans="1:42" x14ac:dyDescent="0.2">
      <c r="A20">
        <v>2025332</v>
      </c>
      <c r="B20">
        <v>20251128</v>
      </c>
      <c r="C20">
        <v>62</v>
      </c>
      <c r="D20">
        <v>87</v>
      </c>
      <c r="E20">
        <v>202</v>
      </c>
      <c r="F20">
        <v>261</v>
      </c>
      <c r="G20">
        <v>783</v>
      </c>
      <c r="H20">
        <v>90.096143999999995</v>
      </c>
      <c r="I20" s="1">
        <v>3.8314180000000001E-3</v>
      </c>
      <c r="J20" s="1">
        <v>2.21207E-3</v>
      </c>
      <c r="K20" s="1">
        <v>0</v>
      </c>
      <c r="L20" s="1">
        <v>0</v>
      </c>
      <c r="M20" s="3">
        <f t="shared" si="0"/>
        <v>1.9999999478000066</v>
      </c>
      <c r="N20" s="1">
        <v>2.5542780000000001E-3</v>
      </c>
      <c r="O20" s="1">
        <v>1.806148E-3</v>
      </c>
      <c r="P20" s="1">
        <v>2.5542780000000001E-3</v>
      </c>
      <c r="Q20" s="1">
        <v>1.806148E-3</v>
      </c>
      <c r="R20" s="3">
        <f t="shared" si="1"/>
        <v>0</v>
      </c>
      <c r="S20" s="1">
        <v>0</v>
      </c>
      <c r="T20" s="1">
        <v>0</v>
      </c>
      <c r="U20" s="1">
        <v>0</v>
      </c>
      <c r="V20" s="1">
        <v>0</v>
      </c>
      <c r="W20" s="1">
        <v>1.1494249999999999E-2</v>
      </c>
      <c r="X20" s="1">
        <v>6.63621E-3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3.8314180000000001E-3</v>
      </c>
      <c r="AH20" s="1">
        <v>3.8314180000000001E-3</v>
      </c>
      <c r="AI20" s="1">
        <v>3.8314180000000001E-3</v>
      </c>
      <c r="AJ20" s="1">
        <v>3.8314180000000001E-3</v>
      </c>
      <c r="AK20" s="1">
        <v>0</v>
      </c>
      <c r="AL20" s="1">
        <v>0</v>
      </c>
      <c r="AM20" s="1">
        <v>3.8314180000000001E-3</v>
      </c>
      <c r="AN20" s="1">
        <v>3.8314180000000001E-3</v>
      </c>
      <c r="AO20" s="1">
        <v>3.8314180000000001E-3</v>
      </c>
      <c r="AP20" s="1">
        <v>3.8314180000000001E-3</v>
      </c>
    </row>
    <row r="21" spans="1:42" x14ac:dyDescent="0.2">
      <c r="A21">
        <v>2025333</v>
      </c>
      <c r="B21">
        <v>20251129</v>
      </c>
      <c r="C21">
        <v>63</v>
      </c>
      <c r="D21">
        <v>90</v>
      </c>
      <c r="E21">
        <v>202</v>
      </c>
      <c r="F21">
        <v>270</v>
      </c>
      <c r="G21">
        <v>810</v>
      </c>
      <c r="H21">
        <v>90.096143999999995</v>
      </c>
      <c r="I21" s="1">
        <v>1.2345679999999999E-3</v>
      </c>
      <c r="J21" s="1">
        <v>1.2345679999999999E-3</v>
      </c>
      <c r="K21" s="1">
        <v>2.4691359999999998E-3</v>
      </c>
      <c r="L21" s="1">
        <v>1.745943E-3</v>
      </c>
      <c r="M21" s="3">
        <f t="shared" si="0"/>
        <v>0.66666664866666858</v>
      </c>
      <c r="N21" s="1">
        <v>1.2345679999999999E-3</v>
      </c>
      <c r="O21" s="1">
        <v>1.2345679999999999E-3</v>
      </c>
      <c r="P21" s="1">
        <v>2.4691359999999998E-3</v>
      </c>
      <c r="Q21" s="1">
        <v>1.745943E-3</v>
      </c>
      <c r="R21" s="3">
        <f t="shared" si="1"/>
        <v>0.66666664866666858</v>
      </c>
      <c r="S21" s="1">
        <v>0</v>
      </c>
      <c r="T21" s="1">
        <v>0</v>
      </c>
      <c r="U21" s="1">
        <v>3.7037039999999999E-3</v>
      </c>
      <c r="V21" s="1">
        <v>3.7037039999999999E-3</v>
      </c>
      <c r="W21" s="1">
        <v>0</v>
      </c>
      <c r="X21" s="1">
        <v>0</v>
      </c>
      <c r="Y21" s="1">
        <v>0</v>
      </c>
      <c r="Z21" s="1">
        <v>0</v>
      </c>
      <c r="AA21" s="1">
        <v>7.4074070000000004E-3</v>
      </c>
      <c r="AB21" s="1">
        <v>5.2378279999999999E-3</v>
      </c>
      <c r="AC21" s="1">
        <v>0</v>
      </c>
      <c r="AD21" s="1">
        <v>0</v>
      </c>
      <c r="AE21" s="1">
        <v>0</v>
      </c>
      <c r="AF21" s="1">
        <v>0</v>
      </c>
      <c r="AG21" s="1">
        <v>3.7037039999999999E-3</v>
      </c>
      <c r="AH21" s="1">
        <v>3.7037039999999999E-3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7.4074070000000004E-3</v>
      </c>
      <c r="AP21" s="1">
        <v>5.2378279999999999E-3</v>
      </c>
    </row>
    <row r="22" spans="1:42" x14ac:dyDescent="0.2">
      <c r="A22">
        <v>2025334</v>
      </c>
      <c r="B22">
        <v>20251130</v>
      </c>
      <c r="C22">
        <v>64</v>
      </c>
      <c r="D22">
        <v>85</v>
      </c>
      <c r="E22">
        <v>202</v>
      </c>
      <c r="F22">
        <v>255</v>
      </c>
      <c r="G22">
        <v>765</v>
      </c>
      <c r="H22">
        <v>90.096143999999995</v>
      </c>
      <c r="I22" s="1">
        <v>1.30719E-3</v>
      </c>
      <c r="J22" s="1">
        <v>1.30719E-3</v>
      </c>
      <c r="K22" s="1">
        <v>1.30719E-3</v>
      </c>
      <c r="L22" s="1">
        <v>1.30719E-3</v>
      </c>
      <c r="M22" s="3">
        <f t="shared" si="0"/>
        <v>0</v>
      </c>
      <c r="N22" s="1">
        <v>0</v>
      </c>
      <c r="O22" s="1">
        <v>0</v>
      </c>
      <c r="P22" s="1">
        <v>0</v>
      </c>
      <c r="Q22" s="1">
        <v>0</v>
      </c>
      <c r="R22" s="3">
        <f t="shared" si="1"/>
        <v>0</v>
      </c>
      <c r="S22" s="1">
        <v>0</v>
      </c>
      <c r="T22" s="1">
        <v>0</v>
      </c>
      <c r="U22" s="1">
        <v>3.9215689999999997E-3</v>
      </c>
      <c r="V22" s="1">
        <v>3.9215689999999997E-3</v>
      </c>
      <c r="W22" s="1">
        <v>0</v>
      </c>
      <c r="X22" s="1">
        <v>0</v>
      </c>
      <c r="Y22" s="1">
        <v>3.9215689999999997E-3</v>
      </c>
      <c r="Z22" s="1">
        <v>3.9215689999999997E-3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</row>
    <row r="23" spans="1:42" x14ac:dyDescent="0.2">
      <c r="A23">
        <v>2025335</v>
      </c>
      <c r="B23">
        <v>20251201</v>
      </c>
      <c r="C23">
        <v>65</v>
      </c>
      <c r="D23">
        <v>57</v>
      </c>
      <c r="E23">
        <v>202</v>
      </c>
      <c r="F23">
        <v>171</v>
      </c>
      <c r="G23">
        <v>513</v>
      </c>
      <c r="H23">
        <v>90.096143999999995</v>
      </c>
      <c r="I23" s="1">
        <v>5.8479530000000004E-3</v>
      </c>
      <c r="J23" s="1">
        <v>3.3763170000000002E-3</v>
      </c>
      <c r="K23" s="1">
        <v>0</v>
      </c>
      <c r="L23" s="1">
        <v>0</v>
      </c>
      <c r="M23" s="3">
        <f t="shared" si="0"/>
        <v>1.9999999657999994</v>
      </c>
      <c r="N23" s="1">
        <v>1.949318E-3</v>
      </c>
      <c r="O23" s="1">
        <v>1.949318E-3</v>
      </c>
      <c r="P23" s="1">
        <v>1.949318E-3</v>
      </c>
      <c r="Q23" s="1">
        <v>1.949318E-3</v>
      </c>
      <c r="R23" s="3">
        <f t="shared" si="1"/>
        <v>0</v>
      </c>
      <c r="S23" s="1">
        <v>1.169591E-2</v>
      </c>
      <c r="T23" s="1">
        <v>8.2702550000000007E-3</v>
      </c>
      <c r="U23" s="1">
        <v>0</v>
      </c>
      <c r="V23" s="1">
        <v>0</v>
      </c>
      <c r="W23" s="1">
        <v>5.8479530000000004E-3</v>
      </c>
      <c r="X23" s="1">
        <v>5.8479530000000004E-3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5.8479530000000004E-3</v>
      </c>
      <c r="AF23" s="1">
        <v>5.8479530000000004E-3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5.8479530000000004E-3</v>
      </c>
      <c r="AN23" s="1">
        <v>5.8479530000000004E-3</v>
      </c>
      <c r="AO23" s="1">
        <v>0</v>
      </c>
      <c r="AP23" s="1">
        <v>0</v>
      </c>
    </row>
    <row r="24" spans="1:42" x14ac:dyDescent="0.2">
      <c r="A24">
        <v>2025336</v>
      </c>
      <c r="B24">
        <v>20251202</v>
      </c>
      <c r="C24">
        <v>66</v>
      </c>
      <c r="D24">
        <v>9</v>
      </c>
      <c r="E24">
        <v>202</v>
      </c>
      <c r="F24">
        <v>27</v>
      </c>
      <c r="G24">
        <v>81</v>
      </c>
      <c r="H24">
        <v>90.096143999999995</v>
      </c>
      <c r="I24" s="1">
        <v>0</v>
      </c>
      <c r="J24" s="1">
        <v>0</v>
      </c>
      <c r="K24" s="1">
        <v>0</v>
      </c>
      <c r="L24" s="1">
        <v>0</v>
      </c>
      <c r="M24" s="3">
        <f t="shared" si="0"/>
        <v>0</v>
      </c>
      <c r="N24" s="1">
        <v>0</v>
      </c>
      <c r="O24" s="1">
        <v>0</v>
      </c>
      <c r="P24" s="1">
        <v>0</v>
      </c>
      <c r="Q24" s="1">
        <v>0</v>
      </c>
      <c r="R24" s="3">
        <f t="shared" si="1"/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</row>
    <row r="25" spans="1:42" x14ac:dyDescent="0.2">
      <c r="A25">
        <v>2025337</v>
      </c>
      <c r="B25">
        <v>20251203</v>
      </c>
      <c r="C25">
        <v>67</v>
      </c>
      <c r="D25">
        <v>110</v>
      </c>
      <c r="E25">
        <v>202</v>
      </c>
      <c r="F25">
        <v>330</v>
      </c>
      <c r="G25">
        <v>990</v>
      </c>
      <c r="H25">
        <v>90.096143999999995</v>
      </c>
      <c r="I25" s="1">
        <v>3.0303029999999998E-3</v>
      </c>
      <c r="J25" s="1">
        <v>1.749546E-3</v>
      </c>
      <c r="K25" s="1">
        <v>0</v>
      </c>
      <c r="L25" s="1">
        <v>0</v>
      </c>
      <c r="M25" s="3">
        <f t="shared" si="0"/>
        <v>1.9999999340000014</v>
      </c>
      <c r="N25" s="1">
        <v>0</v>
      </c>
      <c r="O25" s="1">
        <v>0</v>
      </c>
      <c r="P25" s="1">
        <v>1.010101E-3</v>
      </c>
      <c r="Q25" s="1">
        <v>1.010101E-3</v>
      </c>
      <c r="R25" s="3">
        <f t="shared" si="1"/>
        <v>1.9999998020000176</v>
      </c>
      <c r="S25" s="1">
        <v>9.0909089999999994E-3</v>
      </c>
      <c r="T25" s="1">
        <v>5.2486390000000003E-3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3.0303029999999998E-3</v>
      </c>
      <c r="AL25" s="1">
        <v>3.0303029999999998E-3</v>
      </c>
      <c r="AM25" s="1">
        <v>0</v>
      </c>
      <c r="AN25" s="1">
        <v>0</v>
      </c>
      <c r="AO25" s="1">
        <v>0</v>
      </c>
      <c r="AP25" s="1">
        <v>0</v>
      </c>
    </row>
    <row r="26" spans="1:42" x14ac:dyDescent="0.2">
      <c r="A26">
        <v>2025338</v>
      </c>
      <c r="B26">
        <v>20251204</v>
      </c>
      <c r="C26">
        <v>68</v>
      </c>
      <c r="D26">
        <v>200</v>
      </c>
      <c r="E26">
        <v>202</v>
      </c>
      <c r="F26">
        <v>600</v>
      </c>
      <c r="G26">
        <v>1800</v>
      </c>
      <c r="H26">
        <v>90.096143999999995</v>
      </c>
      <c r="I26" s="1">
        <v>5.5555559999999999E-4</v>
      </c>
      <c r="J26" s="1">
        <v>5.5555559999999999E-4</v>
      </c>
      <c r="K26" s="1">
        <v>5.5555559999999999E-4</v>
      </c>
      <c r="L26" s="1">
        <v>5.5555559999999999E-4</v>
      </c>
      <c r="M26" s="3">
        <f t="shared" si="0"/>
        <v>0</v>
      </c>
      <c r="N26" s="1">
        <v>5.5555559999999999E-4</v>
      </c>
      <c r="O26" s="1">
        <v>5.5555559999999999E-4</v>
      </c>
      <c r="P26" s="1">
        <v>0</v>
      </c>
      <c r="Q26" s="1">
        <v>0</v>
      </c>
      <c r="R26" s="3">
        <f t="shared" si="1"/>
        <v>1.9999996400000934</v>
      </c>
      <c r="S26" s="1">
        <v>0</v>
      </c>
      <c r="T26" s="1">
        <v>0</v>
      </c>
      <c r="U26" s="1">
        <v>1.6666669999999999E-3</v>
      </c>
      <c r="V26" s="1">
        <v>1.6666669999999999E-3</v>
      </c>
      <c r="W26" s="1">
        <v>0</v>
      </c>
      <c r="X26" s="1">
        <v>0</v>
      </c>
      <c r="Y26" s="1">
        <v>1.6666669999999999E-3</v>
      </c>
      <c r="Z26" s="1">
        <v>1.6666669999999999E-3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1.6666669999999999E-3</v>
      </c>
      <c r="AJ26" s="1">
        <v>1.6666669999999999E-3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</row>
    <row r="27" spans="1:42" x14ac:dyDescent="0.2">
      <c r="A27">
        <v>2025339</v>
      </c>
      <c r="B27">
        <v>20251205</v>
      </c>
      <c r="C27">
        <v>69</v>
      </c>
      <c r="D27">
        <v>79</v>
      </c>
      <c r="E27">
        <v>201</v>
      </c>
      <c r="F27">
        <v>237</v>
      </c>
      <c r="G27">
        <v>711</v>
      </c>
      <c r="H27">
        <v>90.096143999999995</v>
      </c>
      <c r="I27" s="1">
        <v>0</v>
      </c>
      <c r="J27" s="1">
        <v>0</v>
      </c>
      <c r="K27" s="1">
        <v>0</v>
      </c>
      <c r="L27" s="1">
        <v>0</v>
      </c>
      <c r="M27" s="3">
        <f t="shared" si="0"/>
        <v>0</v>
      </c>
      <c r="N27" s="1">
        <v>1.4064699999999999E-3</v>
      </c>
      <c r="O27" s="1">
        <v>1.4064699999999999E-3</v>
      </c>
      <c r="P27" s="1">
        <v>1.4064699999999999E-3</v>
      </c>
      <c r="Q27" s="1">
        <v>1.4064699999999999E-3</v>
      </c>
      <c r="R27" s="3">
        <f t="shared" si="1"/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4.2194090000000004E-3</v>
      </c>
      <c r="AF27" s="1">
        <v>4.2194090000000004E-3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4.2194090000000004E-3</v>
      </c>
      <c r="AN27" s="1">
        <v>4.2194090000000004E-3</v>
      </c>
      <c r="AO27" s="1">
        <v>0</v>
      </c>
      <c r="AP27" s="1">
        <v>0</v>
      </c>
    </row>
    <row r="28" spans="1:42" x14ac:dyDescent="0.2">
      <c r="A28">
        <v>2025340</v>
      </c>
      <c r="B28">
        <v>20251206</v>
      </c>
      <c r="C28">
        <v>70</v>
      </c>
      <c r="D28">
        <v>113</v>
      </c>
      <c r="E28">
        <v>202</v>
      </c>
      <c r="F28">
        <v>339</v>
      </c>
      <c r="G28">
        <v>1017</v>
      </c>
      <c r="H28">
        <v>90.096143999999995</v>
      </c>
      <c r="I28" s="1">
        <v>2.9498530000000001E-3</v>
      </c>
      <c r="J28" s="1">
        <v>1.7030979999999999E-3</v>
      </c>
      <c r="K28" s="1">
        <v>9.8328419999999992E-4</v>
      </c>
      <c r="L28" s="1">
        <v>9.8328419999999992E-4</v>
      </c>
      <c r="M28" s="3">
        <f t="shared" si="0"/>
        <v>1.0000000762749883</v>
      </c>
      <c r="N28" s="1">
        <v>2.9498530000000001E-3</v>
      </c>
      <c r="O28" s="1">
        <v>1.7030979999999999E-3</v>
      </c>
      <c r="P28" s="1">
        <v>1.9665680000000001E-3</v>
      </c>
      <c r="Q28" s="1">
        <v>1.3905740000000001E-3</v>
      </c>
      <c r="R28" s="3">
        <f t="shared" si="1"/>
        <v>0.40000031730398355</v>
      </c>
      <c r="S28" s="1">
        <v>2.9498530000000001E-3</v>
      </c>
      <c r="T28" s="1">
        <v>2.9498530000000001E-3</v>
      </c>
      <c r="U28" s="1">
        <v>2.9498530000000001E-3</v>
      </c>
      <c r="V28" s="1">
        <v>2.9498530000000001E-3</v>
      </c>
      <c r="W28" s="1">
        <v>2.9498530000000001E-3</v>
      </c>
      <c r="X28" s="1">
        <v>2.9498530000000001E-3</v>
      </c>
      <c r="Y28" s="1">
        <v>2.9498530000000001E-3</v>
      </c>
      <c r="Z28" s="1">
        <v>2.9498530000000001E-3</v>
      </c>
      <c r="AA28" s="1">
        <v>0</v>
      </c>
      <c r="AB28" s="1">
        <v>0</v>
      </c>
      <c r="AC28" s="1">
        <v>0</v>
      </c>
      <c r="AD28" s="1">
        <v>0</v>
      </c>
      <c r="AE28" s="1">
        <v>5.8997049999999999E-3</v>
      </c>
      <c r="AF28" s="1">
        <v>4.1717209999999998E-3</v>
      </c>
      <c r="AG28" s="1">
        <v>2.9498530000000001E-3</v>
      </c>
      <c r="AH28" s="1">
        <v>2.9498530000000001E-3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5.8997049999999999E-3</v>
      </c>
      <c r="AP28" s="1">
        <v>4.1717209999999998E-3</v>
      </c>
    </row>
    <row r="29" spans="1:42" x14ac:dyDescent="0.2">
      <c r="A29">
        <v>2025341</v>
      </c>
      <c r="B29">
        <v>20251207</v>
      </c>
      <c r="C29">
        <v>71</v>
      </c>
      <c r="D29">
        <v>4</v>
      </c>
      <c r="E29">
        <v>202</v>
      </c>
      <c r="F29">
        <v>12</v>
      </c>
      <c r="G29">
        <v>36</v>
      </c>
      <c r="H29">
        <v>90.096143999999995</v>
      </c>
      <c r="I29" s="1">
        <v>0</v>
      </c>
      <c r="J29" s="1">
        <v>0</v>
      </c>
      <c r="K29" s="1">
        <v>0</v>
      </c>
      <c r="L29" s="1">
        <v>0</v>
      </c>
      <c r="M29" s="3">
        <f t="shared" si="0"/>
        <v>0</v>
      </c>
      <c r="N29" s="1">
        <v>0</v>
      </c>
      <c r="O29" s="1">
        <v>0</v>
      </c>
      <c r="P29" s="1">
        <v>0</v>
      </c>
      <c r="Q29" s="1">
        <v>0</v>
      </c>
      <c r="R29" s="3">
        <f t="shared" si="1"/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</row>
    <row r="30" spans="1:42" x14ac:dyDescent="0.2">
      <c r="A30">
        <v>2025342</v>
      </c>
      <c r="B30">
        <v>20251208</v>
      </c>
      <c r="C30">
        <v>72</v>
      </c>
      <c r="D30">
        <v>23</v>
      </c>
      <c r="E30">
        <v>202</v>
      </c>
      <c r="F30">
        <v>69</v>
      </c>
      <c r="G30">
        <v>207</v>
      </c>
      <c r="H30">
        <v>90.096143999999995</v>
      </c>
      <c r="I30" s="1">
        <v>4.830918E-3</v>
      </c>
      <c r="J30" s="1">
        <v>4.830918E-3</v>
      </c>
      <c r="K30" s="1">
        <v>9.661836E-3</v>
      </c>
      <c r="L30" s="1">
        <v>6.8319499999999998E-3</v>
      </c>
      <c r="M30" s="3">
        <f t="shared" si="0"/>
        <v>0.6666666620666668</v>
      </c>
      <c r="N30" s="1">
        <v>0</v>
      </c>
      <c r="O30" s="1">
        <v>0</v>
      </c>
      <c r="P30" s="1">
        <v>0</v>
      </c>
      <c r="Q30" s="1">
        <v>0</v>
      </c>
      <c r="R30" s="3">
        <f t="shared" si="1"/>
        <v>0</v>
      </c>
      <c r="S30" s="1">
        <v>0</v>
      </c>
      <c r="T30" s="1">
        <v>0</v>
      </c>
      <c r="U30" s="1">
        <v>0</v>
      </c>
      <c r="V30" s="1">
        <v>0</v>
      </c>
      <c r="W30" s="1">
        <v>1.449275E-2</v>
      </c>
      <c r="X30" s="1">
        <v>1.449275E-2</v>
      </c>
      <c r="Y30" s="1">
        <v>0</v>
      </c>
      <c r="Z30" s="1">
        <v>0</v>
      </c>
      <c r="AA30" s="1">
        <v>0</v>
      </c>
      <c r="AB30" s="1">
        <v>0</v>
      </c>
      <c r="AC30" s="1">
        <v>2.8985509999999999E-2</v>
      </c>
      <c r="AD30" s="1">
        <v>2.0495849999999999E-2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</row>
    <row r="31" spans="1:42" x14ac:dyDescent="0.2">
      <c r="A31">
        <v>2025343</v>
      </c>
      <c r="B31">
        <v>20251209</v>
      </c>
      <c r="C31">
        <v>73</v>
      </c>
      <c r="D31">
        <v>36</v>
      </c>
      <c r="E31">
        <v>202</v>
      </c>
      <c r="F31">
        <v>108</v>
      </c>
      <c r="G31">
        <v>324</v>
      </c>
      <c r="H31">
        <v>104.944388</v>
      </c>
      <c r="I31" s="1">
        <v>0</v>
      </c>
      <c r="J31" s="1">
        <v>0</v>
      </c>
      <c r="K31" s="1">
        <v>3.0864199999999999E-3</v>
      </c>
      <c r="L31" s="1">
        <v>3.0864199999999999E-3</v>
      </c>
      <c r="M31" s="3">
        <f t="shared" si="0"/>
        <v>1.9999999352000073</v>
      </c>
      <c r="N31" s="1">
        <v>0</v>
      </c>
      <c r="O31" s="1">
        <v>0</v>
      </c>
      <c r="P31" s="1">
        <v>3.0864199999999999E-3</v>
      </c>
      <c r="Q31" s="1">
        <v>3.0864199999999999E-3</v>
      </c>
      <c r="R31" s="3">
        <f t="shared" si="1"/>
        <v>1.9999999352000073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9.2592590000000006E-3</v>
      </c>
      <c r="AD31" s="1">
        <v>9.2592590000000006E-3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9.2592590000000006E-3</v>
      </c>
      <c r="AN31" s="1">
        <v>9.2592590000000006E-3</v>
      </c>
      <c r="AO31" s="1">
        <v>0</v>
      </c>
      <c r="AP31" s="1">
        <v>0</v>
      </c>
    </row>
    <row r="32" spans="1:42" x14ac:dyDescent="0.2">
      <c r="A32">
        <v>2025344</v>
      </c>
      <c r="B32">
        <v>20251210</v>
      </c>
      <c r="C32">
        <v>74</v>
      </c>
      <c r="D32">
        <v>0</v>
      </c>
      <c r="E32">
        <v>185</v>
      </c>
      <c r="F32">
        <v>0</v>
      </c>
      <c r="G32">
        <v>0</v>
      </c>
      <c r="H32">
        <v>90.096143999999995</v>
      </c>
      <c r="I32" s="1">
        <v>0</v>
      </c>
      <c r="J32" s="1">
        <v>0</v>
      </c>
      <c r="K32" s="1">
        <v>0</v>
      </c>
      <c r="L32" s="1">
        <v>0</v>
      </c>
      <c r="M32" s="3">
        <f t="shared" si="0"/>
        <v>0</v>
      </c>
      <c r="N32" s="1">
        <v>0</v>
      </c>
      <c r="O32" s="1">
        <v>0</v>
      </c>
      <c r="P32" s="1">
        <v>0</v>
      </c>
      <c r="Q32" s="1">
        <v>0</v>
      </c>
      <c r="R32" s="3">
        <f t="shared" si="1"/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</row>
    <row r="33" spans="1:42" x14ac:dyDescent="0.2">
      <c r="A33">
        <v>2025345</v>
      </c>
      <c r="B33">
        <v>20251211</v>
      </c>
      <c r="C33">
        <v>75</v>
      </c>
      <c r="D33">
        <v>0</v>
      </c>
      <c r="E33">
        <v>198</v>
      </c>
      <c r="F33">
        <v>0</v>
      </c>
      <c r="G33">
        <v>0</v>
      </c>
      <c r="H33">
        <v>74.990415999999996</v>
      </c>
      <c r="I33" s="1">
        <v>0</v>
      </c>
      <c r="J33" s="1">
        <v>0</v>
      </c>
      <c r="K33" s="1">
        <v>0</v>
      </c>
      <c r="L33" s="1">
        <v>0</v>
      </c>
      <c r="M33" s="3">
        <f t="shared" si="0"/>
        <v>0</v>
      </c>
      <c r="N33" s="1">
        <v>0</v>
      </c>
      <c r="O33" s="1">
        <v>0</v>
      </c>
      <c r="P33" s="1">
        <v>0</v>
      </c>
      <c r="Q33" s="1">
        <v>0</v>
      </c>
      <c r="R33" s="3">
        <f t="shared" si="1"/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</row>
    <row r="34" spans="1:42" x14ac:dyDescent="0.2">
      <c r="A34">
        <v>2025346</v>
      </c>
      <c r="B34">
        <v>20251212</v>
      </c>
      <c r="C34">
        <v>76</v>
      </c>
      <c r="D34">
        <v>2</v>
      </c>
      <c r="E34">
        <v>198</v>
      </c>
      <c r="F34">
        <v>6</v>
      </c>
      <c r="G34">
        <v>18</v>
      </c>
      <c r="H34">
        <v>90.096143999999995</v>
      </c>
      <c r="I34" s="1">
        <v>0</v>
      </c>
      <c r="J34" s="1">
        <v>0</v>
      </c>
      <c r="K34" s="1">
        <v>0</v>
      </c>
      <c r="L34" s="1">
        <v>0</v>
      </c>
      <c r="M34" s="3">
        <f t="shared" si="0"/>
        <v>0</v>
      </c>
      <c r="N34" s="1">
        <v>5.5555559999999997E-2</v>
      </c>
      <c r="O34" s="1">
        <v>5.5555559999999997E-2</v>
      </c>
      <c r="P34" s="1">
        <v>0</v>
      </c>
      <c r="Q34" s="1">
        <v>0</v>
      </c>
      <c r="R34" s="3">
        <f t="shared" si="1"/>
        <v>1.9999999964000001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0.1666667</v>
      </c>
      <c r="AH34" s="1">
        <v>0.1666667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</row>
    <row r="35" spans="1:42" x14ac:dyDescent="0.2">
      <c r="A35">
        <v>2025347</v>
      </c>
      <c r="B35">
        <v>20251213</v>
      </c>
      <c r="C35">
        <v>77</v>
      </c>
      <c r="D35">
        <v>141</v>
      </c>
      <c r="E35">
        <v>198</v>
      </c>
      <c r="F35">
        <v>423</v>
      </c>
      <c r="G35">
        <v>1269</v>
      </c>
      <c r="H35">
        <v>104.944388</v>
      </c>
      <c r="I35" s="1">
        <v>7.8802209999999998E-3</v>
      </c>
      <c r="J35" s="1">
        <v>2.4919450000000002E-3</v>
      </c>
      <c r="K35" s="1">
        <v>4.7281320000000003E-3</v>
      </c>
      <c r="L35" s="1">
        <v>1.9302519999999999E-3</v>
      </c>
      <c r="M35" s="3">
        <f t="shared" si="0"/>
        <v>0.50000011500312436</v>
      </c>
      <c r="N35" s="1">
        <v>1.576044E-3</v>
      </c>
      <c r="O35" s="1">
        <v>1.1144309999999999E-3</v>
      </c>
      <c r="P35" s="1">
        <v>0</v>
      </c>
      <c r="Q35" s="1">
        <v>0</v>
      </c>
      <c r="R35" s="3">
        <f t="shared" si="1"/>
        <v>1.9999998730999975</v>
      </c>
      <c r="S35" s="1">
        <v>9.4562650000000002E-3</v>
      </c>
      <c r="T35" s="1">
        <v>4.7281320000000003E-3</v>
      </c>
      <c r="U35" s="1">
        <v>2.3640660000000002E-3</v>
      </c>
      <c r="V35" s="1">
        <v>2.3640660000000002E-3</v>
      </c>
      <c r="W35" s="1">
        <v>1.182033E-2</v>
      </c>
      <c r="X35" s="1">
        <v>5.2862129999999997E-3</v>
      </c>
      <c r="Y35" s="1">
        <v>0</v>
      </c>
      <c r="Z35" s="1">
        <v>0</v>
      </c>
      <c r="AA35" s="1">
        <v>4.7281320000000003E-3</v>
      </c>
      <c r="AB35" s="1">
        <v>3.3432940000000001E-3</v>
      </c>
      <c r="AC35" s="1">
        <v>9.4562650000000002E-3</v>
      </c>
      <c r="AD35" s="1">
        <v>4.7281320000000003E-3</v>
      </c>
      <c r="AE35" s="1">
        <v>0</v>
      </c>
      <c r="AF35" s="1">
        <v>0</v>
      </c>
      <c r="AG35" s="1">
        <v>2.3640660000000002E-3</v>
      </c>
      <c r="AH35" s="1">
        <v>2.3640660000000002E-3</v>
      </c>
      <c r="AI35" s="1">
        <v>2.3640660000000002E-3</v>
      </c>
      <c r="AJ35" s="1">
        <v>2.3640660000000002E-3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</row>
    <row r="36" spans="1:42" x14ac:dyDescent="0.2">
      <c r="A36">
        <v>2025348</v>
      </c>
      <c r="B36">
        <v>20251214</v>
      </c>
      <c r="C36">
        <v>78</v>
      </c>
      <c r="D36">
        <v>156</v>
      </c>
      <c r="E36">
        <v>198</v>
      </c>
      <c r="F36">
        <v>468</v>
      </c>
      <c r="G36">
        <v>1404</v>
      </c>
      <c r="H36">
        <v>90.096143999999995</v>
      </c>
      <c r="I36" s="1">
        <v>7.1225070000000001E-4</v>
      </c>
      <c r="J36" s="1">
        <v>7.1225070000000001E-4</v>
      </c>
      <c r="K36" s="1">
        <v>2.136752E-3</v>
      </c>
      <c r="L36" s="1">
        <v>1.233654E-3</v>
      </c>
      <c r="M36" s="3">
        <f t="shared" si="0"/>
        <v>0.99999992979999874</v>
      </c>
      <c r="N36" s="1">
        <v>7.1225070000000001E-4</v>
      </c>
      <c r="O36" s="1">
        <v>7.1225070000000001E-4</v>
      </c>
      <c r="P36" s="1">
        <v>1.4245009999999999E-3</v>
      </c>
      <c r="Q36" s="1">
        <v>1.007275E-3</v>
      </c>
      <c r="R36" s="3">
        <f t="shared" si="1"/>
        <v>0.6666663858666223</v>
      </c>
      <c r="S36" s="1">
        <v>0</v>
      </c>
      <c r="T36" s="1">
        <v>0</v>
      </c>
      <c r="U36" s="1">
        <v>2.136752E-3</v>
      </c>
      <c r="V36" s="1">
        <v>2.136752E-3</v>
      </c>
      <c r="W36" s="1">
        <v>0</v>
      </c>
      <c r="X36" s="1">
        <v>0</v>
      </c>
      <c r="Y36" s="1">
        <v>2.136752E-3</v>
      </c>
      <c r="Z36" s="1">
        <v>2.136752E-3</v>
      </c>
      <c r="AA36" s="1">
        <v>2.136752E-3</v>
      </c>
      <c r="AB36" s="1">
        <v>2.136752E-3</v>
      </c>
      <c r="AC36" s="1">
        <v>2.136752E-3</v>
      </c>
      <c r="AD36" s="1">
        <v>2.136752E-3</v>
      </c>
      <c r="AE36" s="1">
        <v>2.136752E-3</v>
      </c>
      <c r="AF36" s="1">
        <v>2.136752E-3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2.136752E-3</v>
      </c>
      <c r="AN36" s="1">
        <v>2.136752E-3</v>
      </c>
      <c r="AO36" s="1">
        <v>2.136752E-3</v>
      </c>
      <c r="AP36" s="1">
        <v>2.136752E-3</v>
      </c>
    </row>
    <row r="37" spans="1:42" x14ac:dyDescent="0.2">
      <c r="A37">
        <v>2025349</v>
      </c>
      <c r="B37">
        <v>20251215</v>
      </c>
      <c r="C37">
        <v>79</v>
      </c>
      <c r="D37">
        <v>12</v>
      </c>
      <c r="E37">
        <v>198</v>
      </c>
      <c r="F37">
        <v>36</v>
      </c>
      <c r="G37">
        <v>108</v>
      </c>
      <c r="H37">
        <v>74.990415999999996</v>
      </c>
      <c r="I37" s="1">
        <v>0</v>
      </c>
      <c r="J37" s="1">
        <v>0</v>
      </c>
      <c r="K37" s="1">
        <v>1.851852E-2</v>
      </c>
      <c r="L37" s="1">
        <v>1.309457E-2</v>
      </c>
      <c r="M37" s="3">
        <f t="shared" si="0"/>
        <v>1.9999999892000009</v>
      </c>
      <c r="N37" s="1">
        <v>0</v>
      </c>
      <c r="O37" s="1">
        <v>0</v>
      </c>
      <c r="P37" s="1">
        <v>0</v>
      </c>
      <c r="Q37" s="1">
        <v>0</v>
      </c>
      <c r="R37" s="3">
        <f t="shared" si="1"/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2.7777779999999998E-2</v>
      </c>
      <c r="Z37" s="1">
        <v>2.7777779999999998E-2</v>
      </c>
      <c r="AA37" s="1">
        <v>2.7777779999999998E-2</v>
      </c>
      <c r="AB37" s="1">
        <v>2.7777779999999998E-2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</row>
    <row r="38" spans="1:42" x14ac:dyDescent="0.2">
      <c r="A38">
        <v>2025351</v>
      </c>
      <c r="B38">
        <v>20251217</v>
      </c>
      <c r="C38">
        <v>81</v>
      </c>
      <c r="D38">
        <v>132</v>
      </c>
      <c r="E38">
        <v>198</v>
      </c>
      <c r="F38">
        <v>396</v>
      </c>
      <c r="G38">
        <v>1188</v>
      </c>
      <c r="H38">
        <v>104.944388</v>
      </c>
      <c r="I38" s="1">
        <v>4.2087540000000003E-3</v>
      </c>
      <c r="J38" s="1">
        <v>1.8822120000000001E-3</v>
      </c>
      <c r="K38" s="1">
        <v>4.2087540000000003E-3</v>
      </c>
      <c r="L38" s="1">
        <v>1.8822120000000001E-3</v>
      </c>
      <c r="M38" s="3">
        <f t="shared" si="0"/>
        <v>0</v>
      </c>
      <c r="N38" s="1">
        <v>0</v>
      </c>
      <c r="O38" s="1">
        <v>0</v>
      </c>
      <c r="P38" s="1">
        <v>8.417508E-4</v>
      </c>
      <c r="Q38" s="1">
        <v>8.417508E-4</v>
      </c>
      <c r="R38" s="3">
        <f t="shared" si="1"/>
        <v>1.9999997624000163</v>
      </c>
      <c r="S38" s="1">
        <v>2.5252529999999999E-3</v>
      </c>
      <c r="T38" s="1">
        <v>2.5252529999999999E-3</v>
      </c>
      <c r="U38" s="1">
        <v>2.5252529999999999E-3</v>
      </c>
      <c r="V38" s="1">
        <v>2.5252529999999999E-3</v>
      </c>
      <c r="W38" s="1">
        <v>7.5757580000000001E-3</v>
      </c>
      <c r="X38" s="1">
        <v>4.3738659999999997E-3</v>
      </c>
      <c r="Y38" s="1">
        <v>5.0505050000000003E-3</v>
      </c>
      <c r="Z38" s="1">
        <v>3.5712460000000001E-3</v>
      </c>
      <c r="AA38" s="1">
        <v>2.5252529999999999E-3</v>
      </c>
      <c r="AB38" s="1">
        <v>2.5252529999999999E-3</v>
      </c>
      <c r="AC38" s="1">
        <v>5.0505050000000003E-3</v>
      </c>
      <c r="AD38" s="1">
        <v>3.5712460000000001E-3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2.5252529999999999E-3</v>
      </c>
      <c r="AP38" s="1">
        <v>2.5252529999999999E-3</v>
      </c>
    </row>
    <row r="39" spans="1:42" x14ac:dyDescent="0.2">
      <c r="A39">
        <v>2025352</v>
      </c>
      <c r="B39">
        <v>20251218</v>
      </c>
      <c r="C39">
        <v>82</v>
      </c>
      <c r="D39">
        <v>73</v>
      </c>
      <c r="E39">
        <v>198</v>
      </c>
      <c r="F39">
        <v>219</v>
      </c>
      <c r="G39">
        <v>657</v>
      </c>
      <c r="H39">
        <v>90.096143999999995</v>
      </c>
      <c r="I39" s="1">
        <v>3.0441399999999999E-3</v>
      </c>
      <c r="J39" s="1">
        <v>2.152532E-3</v>
      </c>
      <c r="K39" s="1">
        <v>3.0441399999999999E-3</v>
      </c>
      <c r="L39" s="1">
        <v>2.152532E-3</v>
      </c>
      <c r="M39" s="3">
        <f t="shared" si="0"/>
        <v>0</v>
      </c>
      <c r="N39" s="1">
        <v>4.5662100000000002E-3</v>
      </c>
      <c r="O39" s="1">
        <v>2.636303E-3</v>
      </c>
      <c r="P39" s="1">
        <v>1.5220699999999999E-3</v>
      </c>
      <c r="Q39" s="1">
        <v>1.5220699999999999E-3</v>
      </c>
      <c r="R39" s="3">
        <f t="shared" si="1"/>
        <v>0.99999998357500031</v>
      </c>
      <c r="S39" s="1">
        <v>0</v>
      </c>
      <c r="T39" s="1">
        <v>0</v>
      </c>
      <c r="U39" s="1">
        <v>9.1324200000000005E-3</v>
      </c>
      <c r="V39" s="1">
        <v>6.4575960000000003E-3</v>
      </c>
      <c r="W39" s="1">
        <v>0</v>
      </c>
      <c r="X39" s="1">
        <v>0</v>
      </c>
      <c r="Y39" s="1">
        <v>0</v>
      </c>
      <c r="Z39" s="1">
        <v>0</v>
      </c>
      <c r="AA39" s="1">
        <v>4.5662100000000002E-3</v>
      </c>
      <c r="AB39" s="1">
        <v>4.5662100000000002E-3</v>
      </c>
      <c r="AC39" s="1">
        <v>4.5662100000000002E-3</v>
      </c>
      <c r="AD39" s="1">
        <v>4.5662100000000002E-3</v>
      </c>
      <c r="AE39" s="1">
        <v>4.5662100000000002E-3</v>
      </c>
      <c r="AF39" s="1">
        <v>4.5662100000000002E-3</v>
      </c>
      <c r="AG39" s="1">
        <v>0</v>
      </c>
      <c r="AH39" s="1">
        <v>0</v>
      </c>
      <c r="AI39" s="1">
        <v>9.1324200000000005E-3</v>
      </c>
      <c r="AJ39" s="1">
        <v>6.4575960000000003E-3</v>
      </c>
      <c r="AK39" s="1">
        <v>0</v>
      </c>
      <c r="AL39" s="1">
        <v>0</v>
      </c>
      <c r="AM39" s="1">
        <v>4.5662100000000002E-3</v>
      </c>
      <c r="AN39" s="1">
        <v>4.5662100000000002E-3</v>
      </c>
      <c r="AO39" s="1">
        <v>0</v>
      </c>
      <c r="AP39" s="1">
        <v>0</v>
      </c>
    </row>
    <row r="40" spans="1:42" x14ac:dyDescent="0.2">
      <c r="A40">
        <v>2025354</v>
      </c>
      <c r="B40">
        <v>20251220</v>
      </c>
      <c r="C40">
        <v>84</v>
      </c>
      <c r="D40">
        <v>13</v>
      </c>
      <c r="E40">
        <v>198</v>
      </c>
      <c r="F40">
        <v>39</v>
      </c>
      <c r="G40">
        <v>117</v>
      </c>
      <c r="H40">
        <v>90.096143999999995</v>
      </c>
      <c r="I40" s="1">
        <v>0</v>
      </c>
      <c r="J40" s="1">
        <v>0</v>
      </c>
      <c r="K40" s="1">
        <v>0</v>
      </c>
      <c r="L40" s="1">
        <v>0</v>
      </c>
      <c r="M40" s="3">
        <f t="shared" si="0"/>
        <v>0</v>
      </c>
      <c r="N40" s="1">
        <v>0</v>
      </c>
      <c r="O40" s="1">
        <v>0</v>
      </c>
      <c r="P40" s="1">
        <v>0</v>
      </c>
      <c r="Q40" s="1">
        <v>0</v>
      </c>
      <c r="R40" s="3">
        <f t="shared" si="1"/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</row>
    <row r="41" spans="1:42" x14ac:dyDescent="0.2">
      <c r="A41">
        <v>2025355</v>
      </c>
      <c r="B41">
        <v>20251221</v>
      </c>
      <c r="C41">
        <v>85</v>
      </c>
      <c r="D41">
        <v>177</v>
      </c>
      <c r="E41">
        <v>198</v>
      </c>
      <c r="F41">
        <v>531</v>
      </c>
      <c r="G41">
        <v>1593</v>
      </c>
      <c r="H41">
        <v>104.944388</v>
      </c>
      <c r="I41" s="1">
        <v>5.0219710000000001E-3</v>
      </c>
      <c r="J41" s="1">
        <v>1.775535E-3</v>
      </c>
      <c r="K41" s="1">
        <v>5.6497179999999998E-3</v>
      </c>
      <c r="L41" s="1">
        <v>1.8832390000000001E-3</v>
      </c>
      <c r="M41" s="3">
        <f t="shared" si="0"/>
        <v>0.11764716796331702</v>
      </c>
      <c r="N41" s="1">
        <v>5.0219710000000001E-3</v>
      </c>
      <c r="O41" s="1">
        <v>1.775535E-3</v>
      </c>
      <c r="P41" s="1">
        <v>6.2774640000000002E-4</v>
      </c>
      <c r="Q41" s="1">
        <v>6.2774640000000002E-4</v>
      </c>
      <c r="R41" s="3">
        <f t="shared" si="1"/>
        <v>1.5555555122888887</v>
      </c>
      <c r="S41" s="1">
        <v>3.7664780000000002E-3</v>
      </c>
      <c r="T41" s="1">
        <v>2.6633020000000002E-3</v>
      </c>
      <c r="U41" s="1">
        <v>9.4161959999999999E-3</v>
      </c>
      <c r="V41" s="1">
        <v>4.2110510000000004E-3</v>
      </c>
      <c r="W41" s="1">
        <v>1.8832390000000001E-3</v>
      </c>
      <c r="X41" s="1">
        <v>1.8832390000000001E-3</v>
      </c>
      <c r="Y41" s="1">
        <v>7.5329569999999998E-3</v>
      </c>
      <c r="Z41" s="1">
        <v>3.7664780000000002E-3</v>
      </c>
      <c r="AA41" s="1">
        <v>3.7664780000000002E-3</v>
      </c>
      <c r="AB41" s="1">
        <v>2.6633020000000002E-3</v>
      </c>
      <c r="AC41" s="1">
        <v>5.6497179999999998E-3</v>
      </c>
      <c r="AD41" s="1">
        <v>3.261866E-3</v>
      </c>
      <c r="AE41" s="1">
        <v>3.7664780000000002E-3</v>
      </c>
      <c r="AF41" s="1">
        <v>2.6633020000000002E-3</v>
      </c>
      <c r="AG41" s="1">
        <v>3.7664780000000002E-3</v>
      </c>
      <c r="AH41" s="1">
        <v>2.6633020000000002E-3</v>
      </c>
      <c r="AI41" s="1">
        <v>7.5329569999999998E-3</v>
      </c>
      <c r="AJ41" s="1">
        <v>3.7664780000000002E-3</v>
      </c>
      <c r="AK41" s="1">
        <v>0</v>
      </c>
      <c r="AL41" s="1">
        <v>0</v>
      </c>
      <c r="AM41" s="1">
        <v>0</v>
      </c>
      <c r="AN41" s="1">
        <v>0</v>
      </c>
      <c r="AO41" s="1">
        <v>1.8832390000000001E-3</v>
      </c>
      <c r="AP41" s="1">
        <v>1.8832390000000001E-3</v>
      </c>
    </row>
    <row r="42" spans="1:42" x14ac:dyDescent="0.2">
      <c r="A42">
        <v>2025356</v>
      </c>
      <c r="B42">
        <v>20251222</v>
      </c>
      <c r="C42">
        <v>86</v>
      </c>
      <c r="D42">
        <v>133</v>
      </c>
      <c r="E42">
        <v>186</v>
      </c>
      <c r="F42">
        <v>399</v>
      </c>
      <c r="G42">
        <v>1197</v>
      </c>
      <c r="H42">
        <v>90.096143999999995</v>
      </c>
      <c r="I42" s="1">
        <v>2.506266E-3</v>
      </c>
      <c r="J42" s="1">
        <v>1.4469929999999999E-3</v>
      </c>
      <c r="K42" s="1">
        <v>8.3542190000000002E-4</v>
      </c>
      <c r="L42" s="1">
        <v>8.3542190000000002E-4</v>
      </c>
      <c r="M42" s="3">
        <f t="shared" si="0"/>
        <v>1.0000000598499919</v>
      </c>
      <c r="N42" s="1">
        <v>2.506266E-3</v>
      </c>
      <c r="O42" s="1">
        <v>1.4469929999999999E-3</v>
      </c>
      <c r="P42" s="1">
        <v>0</v>
      </c>
      <c r="Q42" s="1">
        <v>0</v>
      </c>
      <c r="R42" s="3">
        <f t="shared" si="1"/>
        <v>1.9999999202000138</v>
      </c>
      <c r="S42" s="1">
        <v>0</v>
      </c>
      <c r="T42" s="1">
        <v>0</v>
      </c>
      <c r="U42" s="1">
        <v>2.506266E-3</v>
      </c>
      <c r="V42" s="1">
        <v>2.506266E-3</v>
      </c>
      <c r="W42" s="1">
        <v>5.0125309999999998E-3</v>
      </c>
      <c r="X42" s="1">
        <v>3.5443950000000001E-3</v>
      </c>
      <c r="Y42" s="1">
        <v>0</v>
      </c>
      <c r="Z42" s="1">
        <v>0</v>
      </c>
      <c r="AA42" s="1">
        <v>0</v>
      </c>
      <c r="AB42" s="1">
        <v>0</v>
      </c>
      <c r="AC42" s="1">
        <v>2.506266E-3</v>
      </c>
      <c r="AD42" s="1">
        <v>2.506266E-3</v>
      </c>
      <c r="AE42" s="1">
        <v>0</v>
      </c>
      <c r="AF42" s="1">
        <v>0</v>
      </c>
      <c r="AG42" s="1">
        <v>5.0125309999999998E-3</v>
      </c>
      <c r="AH42" s="1">
        <v>3.5443950000000001E-3</v>
      </c>
      <c r="AI42" s="1">
        <v>2.506266E-3</v>
      </c>
      <c r="AJ42" s="1">
        <v>2.506266E-3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</row>
    <row r="43" spans="1:42" x14ac:dyDescent="0.2">
      <c r="A43">
        <v>2025360</v>
      </c>
      <c r="B43">
        <v>20251226</v>
      </c>
      <c r="C43">
        <v>90</v>
      </c>
      <c r="D43">
        <v>148</v>
      </c>
      <c r="E43">
        <v>198</v>
      </c>
      <c r="F43">
        <v>444</v>
      </c>
      <c r="G43">
        <v>1332</v>
      </c>
      <c r="H43">
        <v>90.096143999999995</v>
      </c>
      <c r="I43" s="1">
        <v>1.501502E-3</v>
      </c>
      <c r="J43" s="1">
        <v>1.061722E-3</v>
      </c>
      <c r="K43" s="1">
        <v>2.2522520000000002E-3</v>
      </c>
      <c r="L43" s="1">
        <v>1.3003380000000001E-3</v>
      </c>
      <c r="M43" s="3">
        <f t="shared" si="0"/>
        <v>0.39999956310404033</v>
      </c>
      <c r="N43" s="1">
        <v>7.5075079999999995E-4</v>
      </c>
      <c r="O43" s="1">
        <v>7.5075079999999995E-4</v>
      </c>
      <c r="P43" s="1">
        <v>7.5075079999999995E-4</v>
      </c>
      <c r="Q43" s="1">
        <v>7.5075079999999995E-4</v>
      </c>
      <c r="R43" s="3">
        <f t="shared" si="1"/>
        <v>0</v>
      </c>
      <c r="S43" s="1">
        <v>2.2522520000000002E-3</v>
      </c>
      <c r="T43" s="1">
        <v>2.2522520000000002E-3</v>
      </c>
      <c r="U43" s="1">
        <v>0</v>
      </c>
      <c r="V43" s="1">
        <v>0</v>
      </c>
      <c r="W43" s="1">
        <v>2.2522520000000002E-3</v>
      </c>
      <c r="X43" s="1">
        <v>2.2522520000000002E-3</v>
      </c>
      <c r="Y43" s="1">
        <v>0</v>
      </c>
      <c r="Z43" s="1">
        <v>0</v>
      </c>
      <c r="AA43" s="1">
        <v>4.5045049999999998E-3</v>
      </c>
      <c r="AB43" s="1">
        <v>3.1851660000000001E-3</v>
      </c>
      <c r="AC43" s="1">
        <v>2.2522520000000002E-3</v>
      </c>
      <c r="AD43" s="1">
        <v>2.2522520000000002E-3</v>
      </c>
      <c r="AE43" s="1">
        <v>0</v>
      </c>
      <c r="AF43" s="1">
        <v>0</v>
      </c>
      <c r="AG43" s="1">
        <v>0</v>
      </c>
      <c r="AH43" s="1">
        <v>0</v>
      </c>
      <c r="AI43" s="1">
        <v>2.2522520000000002E-3</v>
      </c>
      <c r="AJ43" s="1">
        <v>2.2522520000000002E-3</v>
      </c>
      <c r="AK43" s="1">
        <v>2.2522520000000002E-3</v>
      </c>
      <c r="AL43" s="1">
        <v>2.2522520000000002E-3</v>
      </c>
      <c r="AM43" s="1">
        <v>0</v>
      </c>
      <c r="AN43" s="1">
        <v>0</v>
      </c>
      <c r="AO43" s="1">
        <v>0</v>
      </c>
      <c r="AP43" s="1">
        <v>0</v>
      </c>
    </row>
    <row r="44" spans="1:42" x14ac:dyDescent="0.2">
      <c r="A44">
        <v>2025361</v>
      </c>
      <c r="B44">
        <v>20251227</v>
      </c>
      <c r="C44">
        <v>91</v>
      </c>
      <c r="D44">
        <v>125</v>
      </c>
      <c r="E44">
        <v>198</v>
      </c>
      <c r="F44">
        <v>375</v>
      </c>
      <c r="G44">
        <v>1125</v>
      </c>
      <c r="H44">
        <v>74.990415999999996</v>
      </c>
      <c r="I44" s="1">
        <v>1.777778E-3</v>
      </c>
      <c r="J44" s="1">
        <v>1.2570789999999999E-3</v>
      </c>
      <c r="K44" s="1">
        <v>4.4444439999999997E-3</v>
      </c>
      <c r="L44" s="1">
        <v>1.9876160000000002E-3</v>
      </c>
      <c r="M44" s="3">
        <f t="shared" si="0"/>
        <v>0.85714265969387371</v>
      </c>
      <c r="N44" s="1">
        <v>3.5555560000000001E-3</v>
      </c>
      <c r="O44" s="1">
        <v>1.777778E-3</v>
      </c>
      <c r="P44" s="1">
        <v>4.4444439999999997E-3</v>
      </c>
      <c r="Q44" s="1">
        <v>1.9876160000000002E-3</v>
      </c>
      <c r="R44" s="3">
        <f t="shared" si="1"/>
        <v>0.22222199722222494</v>
      </c>
      <c r="S44" s="1">
        <v>2.6666670000000002E-3</v>
      </c>
      <c r="T44" s="1">
        <v>2.6666670000000002E-3</v>
      </c>
      <c r="U44" s="1">
        <v>0</v>
      </c>
      <c r="V44" s="1">
        <v>0</v>
      </c>
      <c r="W44" s="1">
        <v>2.6666670000000002E-3</v>
      </c>
      <c r="X44" s="1">
        <v>2.6666670000000002E-3</v>
      </c>
      <c r="Y44" s="1">
        <v>8.0000000000000002E-3</v>
      </c>
      <c r="Z44" s="1">
        <v>4.618802E-3</v>
      </c>
      <c r="AA44" s="1">
        <v>5.333333E-3</v>
      </c>
      <c r="AB44" s="1">
        <v>3.7712359999999999E-3</v>
      </c>
      <c r="AC44" s="1">
        <v>0</v>
      </c>
      <c r="AD44" s="1">
        <v>0</v>
      </c>
      <c r="AE44" s="1">
        <v>2.6666670000000002E-3</v>
      </c>
      <c r="AF44" s="1">
        <v>2.6666670000000002E-3</v>
      </c>
      <c r="AG44" s="1">
        <v>0</v>
      </c>
      <c r="AH44" s="1">
        <v>0</v>
      </c>
      <c r="AI44" s="1">
        <v>8.0000000000000002E-3</v>
      </c>
      <c r="AJ44" s="1">
        <v>4.618802E-3</v>
      </c>
      <c r="AK44" s="1">
        <v>2.6666670000000002E-3</v>
      </c>
      <c r="AL44" s="1">
        <v>2.6666670000000002E-3</v>
      </c>
      <c r="AM44" s="1">
        <v>5.333333E-3</v>
      </c>
      <c r="AN44" s="1">
        <v>3.7712359999999999E-3</v>
      </c>
      <c r="AO44" s="1">
        <v>5.333333E-3</v>
      </c>
      <c r="AP44" s="1">
        <v>3.7712359999999999E-3</v>
      </c>
    </row>
    <row r="45" spans="1:42" x14ac:dyDescent="0.2">
      <c r="A45">
        <v>2025362</v>
      </c>
      <c r="B45">
        <v>20251228</v>
      </c>
      <c r="C45">
        <v>92</v>
      </c>
      <c r="D45">
        <v>128</v>
      </c>
      <c r="E45">
        <v>198</v>
      </c>
      <c r="F45">
        <v>384</v>
      </c>
      <c r="G45">
        <v>1152</v>
      </c>
      <c r="H45">
        <v>90.096143999999995</v>
      </c>
      <c r="I45" s="1">
        <v>2.6041670000000001E-3</v>
      </c>
      <c r="J45" s="1">
        <v>1.5035160000000001E-3</v>
      </c>
      <c r="K45" s="1">
        <v>0</v>
      </c>
      <c r="L45" s="1">
        <v>0</v>
      </c>
      <c r="M45" s="3">
        <f t="shared" si="0"/>
        <v>1.9999999232000127</v>
      </c>
      <c r="N45" s="1">
        <v>1.736111E-3</v>
      </c>
      <c r="O45" s="1">
        <v>1.227616E-3</v>
      </c>
      <c r="P45" s="1">
        <v>0</v>
      </c>
      <c r="Q45" s="1">
        <v>0</v>
      </c>
      <c r="R45" s="3">
        <f t="shared" si="1"/>
        <v>1.9999998847999991</v>
      </c>
      <c r="S45" s="1">
        <v>2.6041670000000001E-3</v>
      </c>
      <c r="T45" s="1">
        <v>2.6041670000000001E-3</v>
      </c>
      <c r="U45" s="1">
        <v>2.6041670000000001E-3</v>
      </c>
      <c r="V45" s="1">
        <v>2.6041670000000001E-3</v>
      </c>
      <c r="W45" s="1">
        <v>2.6041670000000001E-3</v>
      </c>
      <c r="X45" s="1">
        <v>2.6041670000000001E-3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2.6041670000000001E-3</v>
      </c>
      <c r="AH45" s="1">
        <v>2.6041670000000001E-3</v>
      </c>
      <c r="AI45" s="1">
        <v>2.6041670000000001E-3</v>
      </c>
      <c r="AJ45" s="1">
        <v>2.6041670000000001E-3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</row>
    <row r="46" spans="1:42" x14ac:dyDescent="0.2">
      <c r="A46">
        <v>2025363</v>
      </c>
      <c r="B46">
        <v>20251229</v>
      </c>
      <c r="C46">
        <v>93</v>
      </c>
      <c r="D46">
        <v>168</v>
      </c>
      <c r="E46">
        <v>198</v>
      </c>
      <c r="F46">
        <v>504</v>
      </c>
      <c r="G46">
        <v>1512</v>
      </c>
      <c r="H46">
        <v>104.944388</v>
      </c>
      <c r="I46" s="1">
        <v>4.62963E-3</v>
      </c>
      <c r="J46" s="1">
        <v>1.7498360000000001E-3</v>
      </c>
      <c r="K46" s="1">
        <v>1.984127E-3</v>
      </c>
      <c r="L46" s="1">
        <v>1.145536E-3</v>
      </c>
      <c r="M46" s="3">
        <f t="shared" si="0"/>
        <v>0.80000004838399652</v>
      </c>
      <c r="N46" s="1">
        <v>1.984127E-3</v>
      </c>
      <c r="O46" s="1">
        <v>1.145536E-3</v>
      </c>
      <c r="P46" s="1">
        <v>3.3068780000000001E-3</v>
      </c>
      <c r="Q46" s="1">
        <v>1.478881E-3</v>
      </c>
      <c r="R46" s="3">
        <f t="shared" si="1"/>
        <v>0.49999989604999634</v>
      </c>
      <c r="S46" s="1">
        <v>5.9523809999999996E-3</v>
      </c>
      <c r="T46" s="1">
        <v>3.4366090000000002E-3</v>
      </c>
      <c r="U46" s="1">
        <v>3.9682540000000001E-3</v>
      </c>
      <c r="V46" s="1">
        <v>2.8059790000000001E-3</v>
      </c>
      <c r="W46" s="1">
        <v>3.9682540000000001E-3</v>
      </c>
      <c r="X46" s="1">
        <v>2.8059790000000001E-3</v>
      </c>
      <c r="Y46" s="1">
        <v>1.984127E-3</v>
      </c>
      <c r="Z46" s="1">
        <v>1.984127E-3</v>
      </c>
      <c r="AA46" s="1">
        <v>0</v>
      </c>
      <c r="AB46" s="1">
        <v>0</v>
      </c>
      <c r="AC46" s="1">
        <v>3.9682540000000001E-3</v>
      </c>
      <c r="AD46" s="1">
        <v>2.8059790000000001E-3</v>
      </c>
      <c r="AE46" s="1">
        <v>0</v>
      </c>
      <c r="AF46" s="1">
        <v>0</v>
      </c>
      <c r="AG46" s="1">
        <v>1.984127E-3</v>
      </c>
      <c r="AH46" s="1">
        <v>1.984127E-3</v>
      </c>
      <c r="AI46" s="1">
        <v>3.9682540000000001E-3</v>
      </c>
      <c r="AJ46" s="1">
        <v>2.8059790000000001E-3</v>
      </c>
      <c r="AK46" s="1">
        <v>1.984127E-3</v>
      </c>
      <c r="AL46" s="1">
        <v>1.984127E-3</v>
      </c>
      <c r="AM46" s="1">
        <v>0</v>
      </c>
      <c r="AN46" s="1">
        <v>0</v>
      </c>
      <c r="AO46" s="1">
        <v>7.9365080000000001E-3</v>
      </c>
      <c r="AP46" s="1">
        <v>3.9682540000000001E-3</v>
      </c>
    </row>
    <row r="47" spans="1:42" x14ac:dyDescent="0.2">
      <c r="A47">
        <v>2025364</v>
      </c>
      <c r="B47">
        <v>20251230</v>
      </c>
      <c r="C47">
        <v>94</v>
      </c>
      <c r="D47">
        <v>5</v>
      </c>
      <c r="E47">
        <v>198</v>
      </c>
      <c r="F47">
        <v>15</v>
      </c>
      <c r="G47">
        <v>45</v>
      </c>
      <c r="H47">
        <v>90.096143999999995</v>
      </c>
      <c r="I47" s="1">
        <v>0</v>
      </c>
      <c r="J47" s="1">
        <v>0</v>
      </c>
      <c r="K47" s="1">
        <v>0</v>
      </c>
      <c r="L47" s="1">
        <v>0</v>
      </c>
      <c r="M47" s="3">
        <f t="shared" si="0"/>
        <v>0</v>
      </c>
      <c r="N47" s="1">
        <v>2.2222220000000001E-2</v>
      </c>
      <c r="O47" s="1">
        <v>2.2222220000000001E-2</v>
      </c>
      <c r="P47" s="1">
        <v>0</v>
      </c>
      <c r="Q47" s="1">
        <v>0</v>
      </c>
      <c r="R47" s="3">
        <f t="shared" si="1"/>
        <v>1.999999990999999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6.6666669999999997E-2</v>
      </c>
      <c r="AH47" s="1">
        <v>6.6666669999999997E-2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</row>
    <row r="48" spans="1:42" x14ac:dyDescent="0.2">
      <c r="A48">
        <v>2025365</v>
      </c>
      <c r="B48">
        <v>20251231</v>
      </c>
      <c r="C48">
        <v>95</v>
      </c>
      <c r="D48">
        <v>4</v>
      </c>
      <c r="E48">
        <v>198</v>
      </c>
      <c r="F48">
        <v>12</v>
      </c>
      <c r="G48">
        <v>36</v>
      </c>
      <c r="H48">
        <v>74.990415999999996</v>
      </c>
      <c r="I48" s="1">
        <v>0</v>
      </c>
      <c r="J48" s="1">
        <v>0</v>
      </c>
      <c r="K48" s="1">
        <v>0</v>
      </c>
      <c r="L48" s="1">
        <v>0</v>
      </c>
      <c r="M48" s="3">
        <f t="shared" si="0"/>
        <v>0</v>
      </c>
      <c r="N48" s="1">
        <v>2.7777779999999998E-2</v>
      </c>
      <c r="O48" s="1">
        <v>2.7777779999999998E-2</v>
      </c>
      <c r="P48" s="1">
        <v>0</v>
      </c>
      <c r="Q48" s="1">
        <v>0</v>
      </c>
      <c r="R48" s="3">
        <f t="shared" si="1"/>
        <v>1.9999999928000005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8.3333329999999997E-2</v>
      </c>
      <c r="AF48" s="1">
        <v>8.3333329999999997E-2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</row>
    <row r="49" spans="1:42" x14ac:dyDescent="0.2">
      <c r="A49">
        <v>2026001</v>
      </c>
      <c r="B49">
        <v>20260101</v>
      </c>
      <c r="C49">
        <v>96</v>
      </c>
      <c r="D49">
        <v>61</v>
      </c>
      <c r="E49">
        <v>198</v>
      </c>
      <c r="F49">
        <v>183</v>
      </c>
      <c r="G49">
        <v>549</v>
      </c>
      <c r="H49">
        <v>90.096143999999995</v>
      </c>
      <c r="I49" s="1">
        <v>3.6429869999999999E-3</v>
      </c>
      <c r="J49" s="1">
        <v>2.5759810000000002E-3</v>
      </c>
      <c r="K49" s="1">
        <v>5.4644810000000002E-3</v>
      </c>
      <c r="L49" s="1">
        <v>3.1549199999999999E-3</v>
      </c>
      <c r="M49" s="3">
        <f t="shared" si="0"/>
        <v>0.40000008344800031</v>
      </c>
      <c r="N49" s="1">
        <v>0</v>
      </c>
      <c r="O49" s="1">
        <v>0</v>
      </c>
      <c r="P49" s="1">
        <v>0</v>
      </c>
      <c r="Q49" s="1">
        <v>0</v>
      </c>
      <c r="R49" s="3">
        <f t="shared" si="1"/>
        <v>0</v>
      </c>
      <c r="S49" s="1">
        <v>0</v>
      </c>
      <c r="T49" s="1">
        <v>0</v>
      </c>
      <c r="U49" s="1">
        <v>0</v>
      </c>
      <c r="V49" s="1">
        <v>0</v>
      </c>
      <c r="W49" s="1">
        <v>1.092896E-2</v>
      </c>
      <c r="X49" s="1">
        <v>7.7279430000000001E-3</v>
      </c>
      <c r="Y49" s="1">
        <v>0</v>
      </c>
      <c r="Z49" s="1">
        <v>0</v>
      </c>
      <c r="AA49" s="1">
        <v>1.092896E-2</v>
      </c>
      <c r="AB49" s="1">
        <v>7.7279430000000001E-3</v>
      </c>
      <c r="AC49" s="1">
        <v>5.4644810000000002E-3</v>
      </c>
      <c r="AD49" s="1">
        <v>5.4644810000000002E-3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</row>
    <row r="50" spans="1:42" x14ac:dyDescent="0.2">
      <c r="A50">
        <v>2026013</v>
      </c>
      <c r="B50">
        <v>20260113</v>
      </c>
      <c r="C50">
        <v>125</v>
      </c>
      <c r="D50">
        <v>8</v>
      </c>
      <c r="E50">
        <v>200</v>
      </c>
      <c r="F50">
        <v>24</v>
      </c>
      <c r="G50">
        <v>72</v>
      </c>
      <c r="H50">
        <v>74.990415999999996</v>
      </c>
      <c r="I50" s="1">
        <v>1.3888889999999999E-2</v>
      </c>
      <c r="J50" s="1">
        <v>1.3888889999999999E-2</v>
      </c>
      <c r="K50" s="1">
        <v>2.7777779999999998E-2</v>
      </c>
      <c r="L50" s="1">
        <v>1.9641860000000001E-2</v>
      </c>
      <c r="M50" s="3">
        <f t="shared" si="0"/>
        <v>0.66666666506666683</v>
      </c>
      <c r="N50" s="1">
        <v>0</v>
      </c>
      <c r="O50" s="1">
        <v>0</v>
      </c>
      <c r="P50" s="1">
        <v>0</v>
      </c>
      <c r="Q50" s="1">
        <v>0</v>
      </c>
      <c r="R50" s="3">
        <f t="shared" si="1"/>
        <v>0</v>
      </c>
      <c r="S50" s="1">
        <v>4.1666670000000003E-2</v>
      </c>
      <c r="T50" s="1">
        <v>4.1666670000000003E-2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8.3333329999999997E-2</v>
      </c>
      <c r="AB50" s="1">
        <v>5.8925569999999997E-2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</row>
    <row r="51" spans="1:42" x14ac:dyDescent="0.2">
      <c r="A51">
        <v>2026014</v>
      </c>
      <c r="B51">
        <v>20260114</v>
      </c>
      <c r="C51">
        <v>126</v>
      </c>
      <c r="D51">
        <v>24</v>
      </c>
      <c r="E51">
        <v>200</v>
      </c>
      <c r="F51">
        <v>72</v>
      </c>
      <c r="G51">
        <v>216</v>
      </c>
      <c r="H51">
        <v>74.990415999999996</v>
      </c>
      <c r="I51" s="1">
        <v>4.62963E-3</v>
      </c>
      <c r="J51" s="1">
        <v>4.62963E-3</v>
      </c>
      <c r="K51" s="1">
        <v>9.2592590000000006E-3</v>
      </c>
      <c r="L51" s="1">
        <v>6.5472849999999999E-3</v>
      </c>
      <c r="M51" s="3">
        <f t="shared" si="0"/>
        <v>0.66666656586666828</v>
      </c>
      <c r="N51" s="1">
        <v>4.62963E-3</v>
      </c>
      <c r="O51" s="1">
        <v>4.62963E-3</v>
      </c>
      <c r="P51" s="1">
        <v>9.2592590000000006E-3</v>
      </c>
      <c r="Q51" s="1">
        <v>6.5472849999999999E-3</v>
      </c>
      <c r="R51" s="3">
        <f t="shared" si="1"/>
        <v>0.66666656586666828</v>
      </c>
      <c r="S51" s="1">
        <v>1.3888889999999999E-2</v>
      </c>
      <c r="T51" s="1">
        <v>1.3888889999999999E-2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2.7777779999999998E-2</v>
      </c>
      <c r="AD51" s="1">
        <v>1.9641860000000001E-2</v>
      </c>
      <c r="AE51" s="1">
        <v>0</v>
      </c>
      <c r="AF51" s="1">
        <v>0</v>
      </c>
      <c r="AG51" s="1">
        <v>1.3888889999999999E-2</v>
      </c>
      <c r="AH51" s="1">
        <v>1.3888889999999999E-2</v>
      </c>
      <c r="AI51" s="1">
        <v>0</v>
      </c>
      <c r="AJ51" s="1">
        <v>0</v>
      </c>
      <c r="AK51" s="1">
        <v>0</v>
      </c>
      <c r="AL51" s="1">
        <v>0</v>
      </c>
      <c r="AM51" s="1">
        <v>1.3888889999999999E-2</v>
      </c>
      <c r="AN51" s="1">
        <v>1.3888889999999999E-2</v>
      </c>
      <c r="AO51" s="1">
        <v>1.3888889999999999E-2</v>
      </c>
      <c r="AP51" s="1">
        <v>1.3888889999999999E-2</v>
      </c>
    </row>
    <row r="52" spans="1:42" x14ac:dyDescent="0.2">
      <c r="A52">
        <v>2026015</v>
      </c>
      <c r="B52">
        <v>20260115</v>
      </c>
      <c r="C52">
        <v>127</v>
      </c>
      <c r="D52">
        <v>4</v>
      </c>
      <c r="E52">
        <v>200</v>
      </c>
      <c r="F52">
        <v>12</v>
      </c>
      <c r="G52">
        <v>36</v>
      </c>
      <c r="H52">
        <v>74.990415999999996</v>
      </c>
      <c r="I52" s="1">
        <v>0</v>
      </c>
      <c r="J52" s="1">
        <v>0</v>
      </c>
      <c r="K52" s="1">
        <v>0</v>
      </c>
      <c r="L52" s="1">
        <v>0</v>
      </c>
      <c r="M52" s="3">
        <f t="shared" si="0"/>
        <v>0</v>
      </c>
      <c r="N52" s="1">
        <v>2.7777779999999998E-2</v>
      </c>
      <c r="O52" s="1">
        <v>2.7777779999999998E-2</v>
      </c>
      <c r="P52" s="1">
        <v>0</v>
      </c>
      <c r="Q52" s="1">
        <v>0</v>
      </c>
      <c r="R52" s="3">
        <f t="shared" si="1"/>
        <v>1.9999999928000005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8.3333329999999997E-2</v>
      </c>
      <c r="AH52" s="1">
        <v>8.3333329999999997E-2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</row>
    <row r="53" spans="1:42" x14ac:dyDescent="0.2">
      <c r="A53">
        <v>2026016</v>
      </c>
      <c r="B53">
        <v>20260116</v>
      </c>
      <c r="C53">
        <v>128</v>
      </c>
      <c r="D53">
        <v>24</v>
      </c>
      <c r="E53">
        <v>162</v>
      </c>
      <c r="F53">
        <v>72</v>
      </c>
      <c r="G53">
        <v>216</v>
      </c>
      <c r="H53">
        <v>90.096143999999995</v>
      </c>
      <c r="I53" s="1">
        <v>9.2592590000000006E-3</v>
      </c>
      <c r="J53" s="1">
        <v>6.5472849999999999E-3</v>
      </c>
      <c r="K53" s="1">
        <v>4.62963E-3</v>
      </c>
      <c r="L53" s="1">
        <v>4.62963E-3</v>
      </c>
      <c r="M53" s="3">
        <f t="shared" si="0"/>
        <v>0.66666656586666828</v>
      </c>
      <c r="N53" s="1">
        <v>0</v>
      </c>
      <c r="O53" s="1">
        <v>0</v>
      </c>
      <c r="P53" s="1">
        <v>0</v>
      </c>
      <c r="Q53" s="1">
        <v>0</v>
      </c>
      <c r="R53" s="3">
        <f t="shared" si="1"/>
        <v>0</v>
      </c>
      <c r="S53" s="1">
        <v>1.3888889999999999E-2</v>
      </c>
      <c r="T53" s="1">
        <v>1.3888889999999999E-2</v>
      </c>
      <c r="U53" s="1">
        <v>1.3888889999999999E-2</v>
      </c>
      <c r="V53" s="1">
        <v>1.3888889999999999E-2</v>
      </c>
      <c r="W53" s="1">
        <v>0</v>
      </c>
      <c r="X53" s="1">
        <v>0</v>
      </c>
      <c r="Y53" s="1">
        <v>1.3888889999999999E-2</v>
      </c>
      <c r="Z53" s="1">
        <v>1.3888889999999999E-2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</row>
    <row r="54" spans="1:42" x14ac:dyDescent="0.2">
      <c r="A54">
        <v>2026017</v>
      </c>
      <c r="B54">
        <v>20260117</v>
      </c>
      <c r="C54">
        <v>129</v>
      </c>
      <c r="D54">
        <v>167</v>
      </c>
      <c r="E54">
        <v>200</v>
      </c>
      <c r="F54">
        <v>501</v>
      </c>
      <c r="G54">
        <v>1503</v>
      </c>
      <c r="H54">
        <v>90.096143999999995</v>
      </c>
      <c r="I54" s="1">
        <v>3.9920160000000001E-3</v>
      </c>
      <c r="J54" s="1">
        <v>1.6297340000000001E-3</v>
      </c>
      <c r="K54" s="1">
        <v>2.6613439999999999E-3</v>
      </c>
      <c r="L54" s="1">
        <v>1.330672E-3</v>
      </c>
      <c r="M54" s="3">
        <f t="shared" si="0"/>
        <v>0.39999999398800018</v>
      </c>
      <c r="N54" s="1">
        <v>2.6613439999999999E-3</v>
      </c>
      <c r="O54" s="1">
        <v>1.330672E-3</v>
      </c>
      <c r="P54" s="1">
        <v>0</v>
      </c>
      <c r="Q54" s="1">
        <v>0</v>
      </c>
      <c r="R54" s="3">
        <f t="shared" si="1"/>
        <v>1.9999999248500033</v>
      </c>
      <c r="S54" s="1">
        <v>1.9960080000000001E-3</v>
      </c>
      <c r="T54" s="1">
        <v>1.9960080000000001E-3</v>
      </c>
      <c r="U54" s="1">
        <v>7.9840320000000003E-3</v>
      </c>
      <c r="V54" s="1">
        <v>3.9920160000000001E-3</v>
      </c>
      <c r="W54" s="1">
        <v>1.9960080000000001E-3</v>
      </c>
      <c r="X54" s="1">
        <v>1.9960080000000001E-3</v>
      </c>
      <c r="Y54" s="1">
        <v>1.9960080000000001E-3</v>
      </c>
      <c r="Z54" s="1">
        <v>1.9960080000000001E-3</v>
      </c>
      <c r="AA54" s="1">
        <v>5.9880239999999998E-3</v>
      </c>
      <c r="AB54" s="1">
        <v>3.457187E-3</v>
      </c>
      <c r="AC54" s="1">
        <v>0</v>
      </c>
      <c r="AD54" s="1">
        <v>0</v>
      </c>
      <c r="AE54" s="1">
        <v>5.9880239999999998E-3</v>
      </c>
      <c r="AF54" s="1">
        <v>3.457187E-3</v>
      </c>
      <c r="AG54" s="1">
        <v>1.9960080000000001E-3</v>
      </c>
      <c r="AH54" s="1">
        <v>1.9960080000000001E-3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</row>
    <row r="55" spans="1:42" x14ac:dyDescent="0.2">
      <c r="A55">
        <v>2026018</v>
      </c>
      <c r="B55">
        <v>20260118</v>
      </c>
      <c r="C55">
        <v>130</v>
      </c>
      <c r="D55">
        <v>94</v>
      </c>
      <c r="E55">
        <v>200</v>
      </c>
      <c r="F55">
        <v>282</v>
      </c>
      <c r="G55">
        <v>846</v>
      </c>
      <c r="H55">
        <v>90.096143999999995</v>
      </c>
      <c r="I55" s="1">
        <v>7.0921990000000004E-3</v>
      </c>
      <c r="J55" s="1">
        <v>2.8953780000000001E-3</v>
      </c>
      <c r="K55" s="1">
        <v>3.546099E-3</v>
      </c>
      <c r="L55" s="1">
        <v>2.0473409999999998E-3</v>
      </c>
      <c r="M55" s="3">
        <f t="shared" si="0"/>
        <v>0.66666678573333082</v>
      </c>
      <c r="N55" s="1">
        <v>4.7281320000000003E-3</v>
      </c>
      <c r="O55" s="1">
        <v>2.3640660000000002E-3</v>
      </c>
      <c r="P55" s="1">
        <v>2.3640660000000002E-3</v>
      </c>
      <c r="Q55" s="1">
        <v>1.6716470000000001E-3</v>
      </c>
      <c r="R55" s="3">
        <f t="shared" si="1"/>
        <v>0.66666665726666607</v>
      </c>
      <c r="S55" s="1">
        <v>1.41844E-2</v>
      </c>
      <c r="T55" s="1">
        <v>7.0921990000000004E-3</v>
      </c>
      <c r="U55" s="1">
        <v>3.546099E-3</v>
      </c>
      <c r="V55" s="1">
        <v>3.546099E-3</v>
      </c>
      <c r="W55" s="1">
        <v>3.546099E-3</v>
      </c>
      <c r="X55" s="1">
        <v>3.546099E-3</v>
      </c>
      <c r="Y55" s="1">
        <v>7.0921990000000004E-3</v>
      </c>
      <c r="Z55" s="1">
        <v>5.0149419999999997E-3</v>
      </c>
      <c r="AA55" s="1">
        <v>0</v>
      </c>
      <c r="AB55" s="1">
        <v>0</v>
      </c>
      <c r="AC55" s="1">
        <v>3.546099E-3</v>
      </c>
      <c r="AD55" s="1">
        <v>3.546099E-3</v>
      </c>
      <c r="AE55" s="1">
        <v>0</v>
      </c>
      <c r="AF55" s="1">
        <v>0</v>
      </c>
      <c r="AG55" s="1">
        <v>7.0921990000000004E-3</v>
      </c>
      <c r="AH55" s="1">
        <v>5.0149419999999997E-3</v>
      </c>
      <c r="AI55" s="1">
        <v>7.0921990000000004E-3</v>
      </c>
      <c r="AJ55" s="1">
        <v>5.0149419999999997E-3</v>
      </c>
      <c r="AK55" s="1">
        <v>3.546099E-3</v>
      </c>
      <c r="AL55" s="1">
        <v>3.546099E-3</v>
      </c>
      <c r="AM55" s="1">
        <v>0</v>
      </c>
      <c r="AN55" s="1">
        <v>0</v>
      </c>
      <c r="AO55" s="1">
        <v>3.546099E-3</v>
      </c>
      <c r="AP55" s="1">
        <v>3.546099E-3</v>
      </c>
    </row>
    <row r="56" spans="1:42" x14ac:dyDescent="0.2">
      <c r="A56">
        <v>2026019</v>
      </c>
      <c r="B56">
        <v>20260119</v>
      </c>
      <c r="C56">
        <v>131</v>
      </c>
      <c r="D56">
        <v>4</v>
      </c>
      <c r="E56">
        <v>200</v>
      </c>
      <c r="F56">
        <v>12</v>
      </c>
      <c r="G56">
        <v>36</v>
      </c>
      <c r="H56">
        <v>90.096143999999995</v>
      </c>
      <c r="I56" s="1">
        <v>0</v>
      </c>
      <c r="J56" s="1">
        <v>0</v>
      </c>
      <c r="K56" s="1">
        <v>0</v>
      </c>
      <c r="L56" s="1">
        <v>0</v>
      </c>
      <c r="M56" s="3">
        <f t="shared" si="0"/>
        <v>0</v>
      </c>
      <c r="N56" s="1">
        <v>2.7777779999999998E-2</v>
      </c>
      <c r="O56" s="1">
        <v>2.7777779999999998E-2</v>
      </c>
      <c r="P56" s="1">
        <v>0</v>
      </c>
      <c r="Q56" s="1">
        <v>0</v>
      </c>
      <c r="R56" s="3">
        <f t="shared" si="1"/>
        <v>1.9999999928000005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8.3333329999999997E-2</v>
      </c>
      <c r="AJ56" s="1">
        <v>8.3333329999999997E-2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</row>
    <row r="57" spans="1:42" x14ac:dyDescent="0.2">
      <c r="A57">
        <v>2026020</v>
      </c>
      <c r="B57">
        <v>20260120</v>
      </c>
      <c r="C57">
        <v>132</v>
      </c>
      <c r="D57">
        <v>89</v>
      </c>
      <c r="E57">
        <v>200</v>
      </c>
      <c r="F57">
        <v>267</v>
      </c>
      <c r="G57">
        <v>801</v>
      </c>
      <c r="H57">
        <v>90.096143999999995</v>
      </c>
      <c r="I57" s="1">
        <v>2.496879E-3</v>
      </c>
      <c r="J57" s="1">
        <v>1.76556E-3</v>
      </c>
      <c r="K57" s="1">
        <v>3.7453180000000001E-3</v>
      </c>
      <c r="L57" s="1">
        <v>2.1623609999999998E-3</v>
      </c>
      <c r="M57" s="3">
        <f t="shared" si="0"/>
        <v>0.39999986543199678</v>
      </c>
      <c r="N57" s="1">
        <v>3.7453180000000001E-3</v>
      </c>
      <c r="O57" s="1">
        <v>2.1623609999999998E-3</v>
      </c>
      <c r="P57" s="1">
        <v>2.496879E-3</v>
      </c>
      <c r="Q57" s="1">
        <v>1.76556E-3</v>
      </c>
      <c r="R57" s="3">
        <f t="shared" si="1"/>
        <v>0.39999986543199678</v>
      </c>
      <c r="S57" s="1">
        <v>0</v>
      </c>
      <c r="T57" s="1">
        <v>0</v>
      </c>
      <c r="U57" s="1">
        <v>7.4906369999999996E-3</v>
      </c>
      <c r="V57" s="1">
        <v>5.2966799999999998E-3</v>
      </c>
      <c r="W57" s="1">
        <v>0</v>
      </c>
      <c r="X57" s="1">
        <v>0</v>
      </c>
      <c r="Y57" s="1">
        <v>3.7453180000000001E-3</v>
      </c>
      <c r="Z57" s="1">
        <v>3.7453180000000001E-3</v>
      </c>
      <c r="AA57" s="1">
        <v>0</v>
      </c>
      <c r="AB57" s="1">
        <v>0</v>
      </c>
      <c r="AC57" s="1">
        <v>7.4906369999999996E-3</v>
      </c>
      <c r="AD57" s="1">
        <v>5.2966799999999998E-3</v>
      </c>
      <c r="AE57" s="1">
        <v>3.7453180000000001E-3</v>
      </c>
      <c r="AF57" s="1">
        <v>3.7453180000000001E-3</v>
      </c>
      <c r="AG57" s="1">
        <v>3.7453180000000001E-3</v>
      </c>
      <c r="AH57" s="1">
        <v>3.7453180000000001E-3</v>
      </c>
      <c r="AI57" s="1">
        <v>3.7453180000000001E-3</v>
      </c>
      <c r="AJ57" s="1">
        <v>3.7453180000000001E-3</v>
      </c>
      <c r="AK57" s="1">
        <v>0</v>
      </c>
      <c r="AL57" s="1">
        <v>0</v>
      </c>
      <c r="AM57" s="1">
        <v>0</v>
      </c>
      <c r="AN57" s="1">
        <v>0</v>
      </c>
      <c r="AO57" s="1">
        <v>7.4906369999999996E-3</v>
      </c>
      <c r="AP57" s="1">
        <v>5.2966799999999998E-3</v>
      </c>
    </row>
    <row r="58" spans="1:42" x14ac:dyDescent="0.2">
      <c r="A58">
        <v>2026021</v>
      </c>
      <c r="B58">
        <v>20260121</v>
      </c>
      <c r="C58">
        <v>133</v>
      </c>
      <c r="D58">
        <v>124</v>
      </c>
      <c r="E58">
        <v>181</v>
      </c>
      <c r="F58">
        <v>372</v>
      </c>
      <c r="G58">
        <v>1116</v>
      </c>
      <c r="H58">
        <v>90.096143999999995</v>
      </c>
      <c r="I58" s="1">
        <v>1.7921149999999999E-3</v>
      </c>
      <c r="J58" s="1">
        <v>1.267216E-3</v>
      </c>
      <c r="K58" s="1">
        <v>3.584229E-3</v>
      </c>
      <c r="L58" s="1">
        <v>1.7921149999999999E-3</v>
      </c>
      <c r="M58" s="3">
        <f t="shared" si="0"/>
        <v>0.6666664062666674</v>
      </c>
      <c r="N58" s="1">
        <v>1.7921149999999999E-3</v>
      </c>
      <c r="O58" s="1">
        <v>1.267216E-3</v>
      </c>
      <c r="P58" s="1">
        <v>8.9605730000000001E-4</v>
      </c>
      <c r="Q58" s="1">
        <v>8.9605730000000001E-4</v>
      </c>
      <c r="R58" s="3">
        <f t="shared" si="1"/>
        <v>0.66666684026664358</v>
      </c>
      <c r="S58" s="1">
        <v>0</v>
      </c>
      <c r="T58" s="1">
        <v>0</v>
      </c>
      <c r="U58" s="1">
        <v>2.688172E-3</v>
      </c>
      <c r="V58" s="1">
        <v>2.688172E-3</v>
      </c>
      <c r="W58" s="1">
        <v>2.688172E-3</v>
      </c>
      <c r="X58" s="1">
        <v>2.688172E-3</v>
      </c>
      <c r="Y58" s="1">
        <v>2.688172E-3</v>
      </c>
      <c r="Z58" s="1">
        <v>2.688172E-3</v>
      </c>
      <c r="AA58" s="1">
        <v>2.688172E-3</v>
      </c>
      <c r="AB58" s="1">
        <v>2.688172E-3</v>
      </c>
      <c r="AC58" s="1">
        <v>5.3763439999999999E-3</v>
      </c>
      <c r="AD58" s="1">
        <v>3.8016489999999998E-3</v>
      </c>
      <c r="AE58" s="1">
        <v>2.688172E-3</v>
      </c>
      <c r="AF58" s="1">
        <v>2.688172E-3</v>
      </c>
      <c r="AG58" s="1">
        <v>0</v>
      </c>
      <c r="AH58" s="1">
        <v>0</v>
      </c>
      <c r="AI58" s="1">
        <v>2.688172E-3</v>
      </c>
      <c r="AJ58" s="1">
        <v>2.688172E-3</v>
      </c>
      <c r="AK58" s="1">
        <v>0</v>
      </c>
      <c r="AL58" s="1">
        <v>0</v>
      </c>
      <c r="AM58" s="1">
        <v>0</v>
      </c>
      <c r="AN58" s="1">
        <v>0</v>
      </c>
      <c r="AO58" s="1">
        <v>2.688172E-3</v>
      </c>
      <c r="AP58" s="1">
        <v>2.688172E-3</v>
      </c>
    </row>
    <row r="59" spans="1:42" x14ac:dyDescent="0.2">
      <c r="A59">
        <v>2026022</v>
      </c>
      <c r="B59">
        <v>20260122</v>
      </c>
      <c r="C59">
        <v>134</v>
      </c>
      <c r="D59">
        <v>36</v>
      </c>
      <c r="E59">
        <v>200</v>
      </c>
      <c r="F59">
        <v>108</v>
      </c>
      <c r="G59">
        <v>324</v>
      </c>
      <c r="H59">
        <v>90.096143999999995</v>
      </c>
      <c r="I59" s="1">
        <v>6.1728399999999998E-3</v>
      </c>
      <c r="J59" s="1">
        <v>4.3648569999999998E-3</v>
      </c>
      <c r="K59" s="1">
        <v>6.1728399999999998E-3</v>
      </c>
      <c r="L59" s="1">
        <v>4.3648569999999998E-3</v>
      </c>
      <c r="M59" s="3">
        <f t="shared" si="0"/>
        <v>0</v>
      </c>
      <c r="N59" s="1">
        <v>3.0864199999999999E-3</v>
      </c>
      <c r="O59" s="1">
        <v>3.0864199999999999E-3</v>
      </c>
      <c r="P59" s="1">
        <v>3.0864199999999999E-3</v>
      </c>
      <c r="Q59" s="1">
        <v>3.0864199999999999E-3</v>
      </c>
      <c r="R59" s="3">
        <f t="shared" si="1"/>
        <v>0</v>
      </c>
      <c r="S59" s="1">
        <v>9.2592590000000006E-3</v>
      </c>
      <c r="T59" s="1">
        <v>9.2592590000000006E-3</v>
      </c>
      <c r="U59" s="1">
        <v>9.2592590000000006E-3</v>
      </c>
      <c r="V59" s="1">
        <v>9.2592590000000006E-3</v>
      </c>
      <c r="W59" s="1">
        <v>0</v>
      </c>
      <c r="X59" s="1">
        <v>0</v>
      </c>
      <c r="Y59" s="1">
        <v>9.2592590000000006E-3</v>
      </c>
      <c r="Z59" s="1">
        <v>9.2592590000000006E-3</v>
      </c>
      <c r="AA59" s="1">
        <v>9.2592590000000006E-3</v>
      </c>
      <c r="AB59" s="1">
        <v>9.2592590000000006E-3</v>
      </c>
      <c r="AC59" s="1">
        <v>0</v>
      </c>
      <c r="AD59" s="1">
        <v>0</v>
      </c>
      <c r="AE59" s="1">
        <v>0</v>
      </c>
      <c r="AF59" s="1">
        <v>0</v>
      </c>
      <c r="AG59" s="1">
        <v>9.2592590000000006E-3</v>
      </c>
      <c r="AH59" s="1">
        <v>9.2592590000000006E-3</v>
      </c>
      <c r="AI59" s="1">
        <v>0</v>
      </c>
      <c r="AJ59" s="1">
        <v>0</v>
      </c>
      <c r="AK59" s="1">
        <v>0</v>
      </c>
      <c r="AL59" s="1">
        <v>0</v>
      </c>
      <c r="AM59" s="1">
        <v>9.2592590000000006E-3</v>
      </c>
      <c r="AN59" s="1">
        <v>9.2592590000000006E-3</v>
      </c>
      <c r="AO59" s="1">
        <v>0</v>
      </c>
      <c r="AP59" s="1">
        <v>0</v>
      </c>
    </row>
    <row r="60" spans="1:42" x14ac:dyDescent="0.2">
      <c r="A60">
        <v>2026023</v>
      </c>
      <c r="B60">
        <v>20260123</v>
      </c>
      <c r="C60">
        <v>135</v>
      </c>
      <c r="D60">
        <v>146</v>
      </c>
      <c r="E60">
        <v>200</v>
      </c>
      <c r="F60">
        <v>438</v>
      </c>
      <c r="G60">
        <v>1314</v>
      </c>
      <c r="H60">
        <v>90.096143999999995</v>
      </c>
      <c r="I60" s="1">
        <v>1.5220699999999999E-3</v>
      </c>
      <c r="J60" s="1">
        <v>1.076266E-3</v>
      </c>
      <c r="K60" s="1">
        <v>3.0441399999999999E-3</v>
      </c>
      <c r="L60" s="1">
        <v>1.5220699999999999E-3</v>
      </c>
      <c r="M60" s="3">
        <f t="shared" si="0"/>
        <v>0.66666665206666698</v>
      </c>
      <c r="N60" s="1">
        <v>2.2831050000000001E-3</v>
      </c>
      <c r="O60" s="1">
        <v>1.318151E-3</v>
      </c>
      <c r="P60" s="1">
        <v>7.6103499999999997E-4</v>
      </c>
      <c r="Q60" s="1">
        <v>7.6103499999999997E-4</v>
      </c>
      <c r="R60" s="3">
        <f t="shared" si="1"/>
        <v>0.99999996715000083</v>
      </c>
      <c r="S60" s="1">
        <v>0</v>
      </c>
      <c r="T60" s="1">
        <v>0</v>
      </c>
      <c r="U60" s="1">
        <v>0</v>
      </c>
      <c r="V60" s="1">
        <v>0</v>
      </c>
      <c r="W60" s="1">
        <v>4.5662100000000002E-3</v>
      </c>
      <c r="X60" s="1">
        <v>3.2287980000000002E-3</v>
      </c>
      <c r="Y60" s="1">
        <v>4.5662100000000002E-3</v>
      </c>
      <c r="Z60" s="1">
        <v>3.2287980000000002E-3</v>
      </c>
      <c r="AA60" s="1">
        <v>2.2831050000000001E-3</v>
      </c>
      <c r="AB60" s="1">
        <v>2.2831050000000001E-3</v>
      </c>
      <c r="AC60" s="1">
        <v>2.2831050000000001E-3</v>
      </c>
      <c r="AD60" s="1">
        <v>2.2831050000000001E-3</v>
      </c>
      <c r="AE60" s="1">
        <v>0</v>
      </c>
      <c r="AF60" s="1">
        <v>0</v>
      </c>
      <c r="AG60" s="1">
        <v>2.2831050000000001E-3</v>
      </c>
      <c r="AH60" s="1">
        <v>2.2831050000000001E-3</v>
      </c>
      <c r="AI60" s="1">
        <v>4.5662100000000002E-3</v>
      </c>
      <c r="AJ60" s="1">
        <v>3.2287980000000002E-3</v>
      </c>
      <c r="AK60" s="1">
        <v>0</v>
      </c>
      <c r="AL60" s="1">
        <v>0</v>
      </c>
      <c r="AM60" s="1">
        <v>0</v>
      </c>
      <c r="AN60" s="1">
        <v>0</v>
      </c>
      <c r="AO60" s="1">
        <v>2.2831050000000001E-3</v>
      </c>
      <c r="AP60" s="1">
        <v>2.2831050000000001E-3</v>
      </c>
    </row>
    <row r="61" spans="1:42" x14ac:dyDescent="0.2">
      <c r="A61">
        <v>2026024</v>
      </c>
      <c r="B61">
        <v>20260124</v>
      </c>
      <c r="C61">
        <v>136</v>
      </c>
      <c r="D61">
        <v>120</v>
      </c>
      <c r="E61">
        <v>168</v>
      </c>
      <c r="F61">
        <v>360</v>
      </c>
      <c r="G61">
        <v>1080</v>
      </c>
      <c r="H61">
        <v>90.096143999999995</v>
      </c>
      <c r="I61" s="1">
        <v>2.7777779999999998E-3</v>
      </c>
      <c r="J61" s="1">
        <v>1.603751E-3</v>
      </c>
      <c r="K61" s="1">
        <v>3.7037039999999999E-3</v>
      </c>
      <c r="L61" s="1">
        <v>1.851852E-3</v>
      </c>
      <c r="M61" s="3">
        <f t="shared" si="0"/>
        <v>0.28571428130612292</v>
      </c>
      <c r="N61" s="1">
        <v>9.2592589999999995E-4</v>
      </c>
      <c r="O61" s="1">
        <v>9.2592589999999995E-4</v>
      </c>
      <c r="P61" s="1">
        <v>9.2592589999999995E-4</v>
      </c>
      <c r="Q61" s="1">
        <v>9.2592589999999995E-4</v>
      </c>
      <c r="R61" s="3">
        <f t="shared" si="1"/>
        <v>0</v>
      </c>
      <c r="S61" s="1">
        <v>0</v>
      </c>
      <c r="T61" s="1">
        <v>0</v>
      </c>
      <c r="U61" s="1">
        <v>2.7777779999999998E-3</v>
      </c>
      <c r="V61" s="1">
        <v>2.7777779999999998E-3</v>
      </c>
      <c r="W61" s="1">
        <v>5.5555559999999997E-3</v>
      </c>
      <c r="X61" s="1">
        <v>3.9283709999999999E-3</v>
      </c>
      <c r="Y61" s="1">
        <v>2.7777779999999998E-3</v>
      </c>
      <c r="Z61" s="1">
        <v>2.7777779999999998E-3</v>
      </c>
      <c r="AA61" s="1">
        <v>0</v>
      </c>
      <c r="AB61" s="1">
        <v>0</v>
      </c>
      <c r="AC61" s="1">
        <v>8.3333330000000001E-3</v>
      </c>
      <c r="AD61" s="1">
        <v>4.8112520000000002E-3</v>
      </c>
      <c r="AE61" s="1">
        <v>0</v>
      </c>
      <c r="AF61" s="1">
        <v>0</v>
      </c>
      <c r="AG61" s="1">
        <v>2.7777779999999998E-3</v>
      </c>
      <c r="AH61" s="1">
        <v>2.7777779999999998E-3</v>
      </c>
      <c r="AI61" s="1">
        <v>0</v>
      </c>
      <c r="AJ61" s="1">
        <v>0</v>
      </c>
      <c r="AK61" s="1">
        <v>0</v>
      </c>
      <c r="AL61" s="1">
        <v>0</v>
      </c>
      <c r="AM61" s="1">
        <v>2.7777779999999998E-3</v>
      </c>
      <c r="AN61" s="1">
        <v>2.7777779999999998E-3</v>
      </c>
      <c r="AO61" s="1">
        <v>0</v>
      </c>
      <c r="AP61" s="1">
        <v>0</v>
      </c>
    </row>
    <row r="62" spans="1:42" x14ac:dyDescent="0.2">
      <c r="A62">
        <v>2026025</v>
      </c>
      <c r="B62">
        <v>20260125</v>
      </c>
      <c r="C62">
        <v>137</v>
      </c>
      <c r="D62">
        <v>135</v>
      </c>
      <c r="E62">
        <v>201</v>
      </c>
      <c r="F62">
        <v>405</v>
      </c>
      <c r="G62">
        <v>1215</v>
      </c>
      <c r="H62">
        <v>90.096143999999995</v>
      </c>
      <c r="I62" s="1">
        <v>1.6460909999999999E-3</v>
      </c>
      <c r="J62" s="1">
        <v>1.1639619999999999E-3</v>
      </c>
      <c r="K62" s="1">
        <v>4.9382719999999996E-3</v>
      </c>
      <c r="L62" s="1">
        <v>2.0160410000000001E-3</v>
      </c>
      <c r="M62" s="3">
        <f t="shared" si="0"/>
        <v>0.99999983293752448</v>
      </c>
      <c r="N62" s="1">
        <v>2.4691359999999998E-3</v>
      </c>
      <c r="O62" s="1">
        <v>1.4255559999999999E-3</v>
      </c>
      <c r="P62" s="1">
        <v>1.6460909999999999E-3</v>
      </c>
      <c r="Q62" s="1">
        <v>1.1639619999999999E-3</v>
      </c>
      <c r="R62" s="3">
        <f t="shared" si="1"/>
        <v>0.39999979588003781</v>
      </c>
      <c r="S62" s="1">
        <v>0</v>
      </c>
      <c r="T62" s="1">
        <v>0</v>
      </c>
      <c r="U62" s="1">
        <v>0</v>
      </c>
      <c r="V62" s="1">
        <v>0</v>
      </c>
      <c r="W62" s="1">
        <v>4.9382719999999996E-3</v>
      </c>
      <c r="X62" s="1">
        <v>3.4918850000000001E-3</v>
      </c>
      <c r="Y62" s="1">
        <v>2.4691359999999998E-3</v>
      </c>
      <c r="Z62" s="1">
        <v>2.4691359999999998E-3</v>
      </c>
      <c r="AA62" s="1">
        <v>4.9382719999999996E-3</v>
      </c>
      <c r="AB62" s="1">
        <v>3.4918850000000001E-3</v>
      </c>
      <c r="AC62" s="1">
        <v>7.4074070000000004E-3</v>
      </c>
      <c r="AD62" s="1">
        <v>4.2766690000000003E-3</v>
      </c>
      <c r="AE62" s="1">
        <v>0</v>
      </c>
      <c r="AF62" s="1">
        <v>0</v>
      </c>
      <c r="AG62" s="1">
        <v>2.4691359999999998E-3</v>
      </c>
      <c r="AH62" s="1">
        <v>2.4691359999999998E-3</v>
      </c>
      <c r="AI62" s="1">
        <v>4.9382719999999996E-3</v>
      </c>
      <c r="AJ62" s="1">
        <v>3.4918850000000001E-3</v>
      </c>
      <c r="AK62" s="1">
        <v>2.4691359999999998E-3</v>
      </c>
      <c r="AL62" s="1">
        <v>2.4691359999999998E-3</v>
      </c>
      <c r="AM62" s="1">
        <v>0</v>
      </c>
      <c r="AN62" s="1">
        <v>0</v>
      </c>
      <c r="AO62" s="1">
        <v>2.4691359999999998E-3</v>
      </c>
      <c r="AP62" s="1">
        <v>2.4691359999999998E-3</v>
      </c>
    </row>
    <row r="63" spans="1:42" x14ac:dyDescent="0.2">
      <c r="A63">
        <v>2026026</v>
      </c>
      <c r="B63">
        <v>20260126</v>
      </c>
      <c r="C63">
        <v>138</v>
      </c>
      <c r="D63">
        <v>134</v>
      </c>
      <c r="E63">
        <v>201</v>
      </c>
      <c r="F63">
        <v>402</v>
      </c>
      <c r="G63">
        <v>1206</v>
      </c>
      <c r="H63">
        <v>90.096143999999995</v>
      </c>
      <c r="I63" s="1">
        <v>3.3167499999999998E-3</v>
      </c>
      <c r="J63" s="1">
        <v>1.6583749999999999E-3</v>
      </c>
      <c r="K63" s="1">
        <v>2.487562E-3</v>
      </c>
      <c r="L63" s="1">
        <v>1.4361949999999999E-3</v>
      </c>
      <c r="M63" s="3">
        <f t="shared" si="0"/>
        <v>0.28571447768978508</v>
      </c>
      <c r="N63" s="1">
        <v>2.487562E-3</v>
      </c>
      <c r="O63" s="1">
        <v>1.4361949999999999E-3</v>
      </c>
      <c r="P63" s="1">
        <v>8.2918740000000003E-4</v>
      </c>
      <c r="Q63" s="1">
        <v>8.2918740000000003E-4</v>
      </c>
      <c r="R63" s="3">
        <f t="shared" si="1"/>
        <v>0.99999990954999762</v>
      </c>
      <c r="S63" s="1">
        <v>2.487562E-3</v>
      </c>
      <c r="T63" s="1">
        <v>2.487562E-3</v>
      </c>
      <c r="U63" s="1">
        <v>0</v>
      </c>
      <c r="V63" s="1">
        <v>0</v>
      </c>
      <c r="W63" s="1">
        <v>7.462687E-3</v>
      </c>
      <c r="X63" s="1">
        <v>4.3085839999999999E-3</v>
      </c>
      <c r="Y63" s="1">
        <v>2.487562E-3</v>
      </c>
      <c r="Z63" s="1">
        <v>2.487562E-3</v>
      </c>
      <c r="AA63" s="1">
        <v>2.487562E-3</v>
      </c>
      <c r="AB63" s="1">
        <v>2.487562E-3</v>
      </c>
      <c r="AC63" s="1">
        <v>2.487562E-3</v>
      </c>
      <c r="AD63" s="1">
        <v>2.487562E-3</v>
      </c>
      <c r="AE63" s="1">
        <v>0</v>
      </c>
      <c r="AF63" s="1">
        <v>0</v>
      </c>
      <c r="AG63" s="1">
        <v>4.975124E-3</v>
      </c>
      <c r="AH63" s="1">
        <v>3.5179439999999998E-3</v>
      </c>
      <c r="AI63" s="1">
        <v>2.487562E-3</v>
      </c>
      <c r="AJ63" s="1">
        <v>2.487562E-3</v>
      </c>
      <c r="AK63" s="1">
        <v>2.487562E-3</v>
      </c>
      <c r="AL63" s="1">
        <v>2.487562E-3</v>
      </c>
      <c r="AM63" s="1">
        <v>0</v>
      </c>
      <c r="AN63" s="1">
        <v>0</v>
      </c>
      <c r="AO63" s="1">
        <v>0</v>
      </c>
      <c r="AP63" s="1">
        <v>0</v>
      </c>
    </row>
    <row r="64" spans="1:42" x14ac:dyDescent="0.2">
      <c r="A64">
        <v>2026027</v>
      </c>
      <c r="B64">
        <v>20260127</v>
      </c>
      <c r="C64">
        <v>139</v>
      </c>
      <c r="D64">
        <v>50</v>
      </c>
      <c r="E64">
        <v>201</v>
      </c>
      <c r="F64">
        <v>150</v>
      </c>
      <c r="G64">
        <v>450</v>
      </c>
      <c r="H64">
        <v>90.096143999999995</v>
      </c>
      <c r="I64" s="1">
        <v>6.6666670000000003E-3</v>
      </c>
      <c r="J64" s="1">
        <v>3.8490019999999998E-3</v>
      </c>
      <c r="K64" s="1">
        <v>4.4444439999999997E-3</v>
      </c>
      <c r="L64" s="1">
        <v>3.1426969999999999E-3</v>
      </c>
      <c r="M64" s="3">
        <f t="shared" si="0"/>
        <v>0.40000014040000026</v>
      </c>
      <c r="N64" s="1">
        <v>4.4444439999999997E-3</v>
      </c>
      <c r="O64" s="1">
        <v>3.1426969999999999E-3</v>
      </c>
      <c r="P64" s="1">
        <v>0</v>
      </c>
      <c r="Q64" s="1">
        <v>0</v>
      </c>
      <c r="R64" s="3">
        <f t="shared" si="1"/>
        <v>1.9999999549999967</v>
      </c>
      <c r="S64" s="1">
        <v>1.3333329999999999E-2</v>
      </c>
      <c r="T64" s="1">
        <v>9.4280900000000001E-3</v>
      </c>
      <c r="U64" s="1">
        <v>6.6666670000000003E-3</v>
      </c>
      <c r="V64" s="1">
        <v>6.6666670000000003E-3</v>
      </c>
      <c r="W64" s="1">
        <v>0</v>
      </c>
      <c r="X64" s="1">
        <v>0</v>
      </c>
      <c r="Y64" s="1">
        <v>6.6666670000000003E-3</v>
      </c>
      <c r="Z64" s="1">
        <v>6.6666670000000003E-3</v>
      </c>
      <c r="AA64" s="1">
        <v>6.6666670000000003E-3</v>
      </c>
      <c r="AB64" s="1">
        <v>6.6666670000000003E-3</v>
      </c>
      <c r="AC64" s="1">
        <v>0</v>
      </c>
      <c r="AD64" s="1">
        <v>0</v>
      </c>
      <c r="AE64" s="1">
        <v>1.3333329999999999E-2</v>
      </c>
      <c r="AF64" s="1">
        <v>9.4280900000000001E-3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</row>
    <row r="65" spans="1:42" x14ac:dyDescent="0.2">
      <c r="A65">
        <v>2026028</v>
      </c>
      <c r="B65">
        <v>20260128</v>
      </c>
      <c r="C65">
        <v>140</v>
      </c>
      <c r="D65">
        <v>19</v>
      </c>
      <c r="E65">
        <v>201</v>
      </c>
      <c r="F65">
        <v>57</v>
      </c>
      <c r="G65">
        <v>171</v>
      </c>
      <c r="H65">
        <v>90.096143999999995</v>
      </c>
      <c r="I65" s="1">
        <v>5.8479530000000004E-3</v>
      </c>
      <c r="J65" s="1">
        <v>5.8479530000000004E-3</v>
      </c>
      <c r="K65" s="1">
        <v>5.8479530000000004E-3</v>
      </c>
      <c r="L65" s="1">
        <v>5.8479530000000004E-3</v>
      </c>
      <c r="M65" s="3">
        <f t="shared" si="0"/>
        <v>0</v>
      </c>
      <c r="N65" s="1">
        <v>1.169591E-2</v>
      </c>
      <c r="O65" s="1">
        <v>8.2702550000000007E-3</v>
      </c>
      <c r="P65" s="1">
        <v>5.8479530000000004E-3</v>
      </c>
      <c r="Q65" s="1">
        <v>5.8479530000000004E-3</v>
      </c>
      <c r="R65" s="3">
        <f t="shared" si="1"/>
        <v>0.66666696686660754</v>
      </c>
      <c r="S65" s="1">
        <v>1.7543860000000001E-2</v>
      </c>
      <c r="T65" s="1">
        <v>1.7543860000000001E-2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1.7543860000000001E-2</v>
      </c>
      <c r="AB65" s="1">
        <v>1.7543860000000001E-2</v>
      </c>
      <c r="AC65" s="1">
        <v>0</v>
      </c>
      <c r="AD65" s="1">
        <v>0</v>
      </c>
      <c r="AE65" s="1">
        <v>1.7543860000000001E-2</v>
      </c>
      <c r="AF65" s="1">
        <v>1.7543860000000001E-2</v>
      </c>
      <c r="AG65" s="1">
        <v>1.7543860000000001E-2</v>
      </c>
      <c r="AH65" s="1">
        <v>1.7543860000000001E-2</v>
      </c>
      <c r="AI65" s="1">
        <v>0</v>
      </c>
      <c r="AJ65" s="1">
        <v>0</v>
      </c>
      <c r="AK65" s="1">
        <v>0</v>
      </c>
      <c r="AL65" s="1">
        <v>0</v>
      </c>
      <c r="AM65" s="1">
        <v>1.7543860000000001E-2</v>
      </c>
      <c r="AN65" s="1">
        <v>1.7543860000000001E-2</v>
      </c>
      <c r="AO65" s="1">
        <v>0</v>
      </c>
      <c r="AP65" s="1">
        <v>0</v>
      </c>
    </row>
    <row r="66" spans="1:42" x14ac:dyDescent="0.2">
      <c r="A66">
        <v>2026029</v>
      </c>
      <c r="B66">
        <v>20260129</v>
      </c>
      <c r="C66">
        <v>141</v>
      </c>
      <c r="D66">
        <v>145</v>
      </c>
      <c r="E66">
        <v>180</v>
      </c>
      <c r="F66">
        <v>435</v>
      </c>
      <c r="G66">
        <v>1305</v>
      </c>
      <c r="H66">
        <v>90.096143999999995</v>
      </c>
      <c r="I66" s="1">
        <v>3.0651340000000002E-3</v>
      </c>
      <c r="J66" s="1">
        <v>1.5325670000000001E-3</v>
      </c>
      <c r="K66" s="1">
        <v>2.2988510000000002E-3</v>
      </c>
      <c r="L66" s="1">
        <v>1.327242E-3</v>
      </c>
      <c r="M66" s="3">
        <f t="shared" si="0"/>
        <v>0.28571406732654797</v>
      </c>
      <c r="N66" s="1">
        <v>2.2988510000000002E-3</v>
      </c>
      <c r="O66" s="1">
        <v>1.327242E-3</v>
      </c>
      <c r="P66" s="1">
        <v>2.2988510000000002E-3</v>
      </c>
      <c r="Q66" s="1">
        <v>1.327242E-3</v>
      </c>
      <c r="R66" s="3">
        <f t="shared" si="1"/>
        <v>0</v>
      </c>
      <c r="S66" s="1">
        <v>2.2988510000000002E-3</v>
      </c>
      <c r="T66" s="1">
        <v>2.2988510000000002E-3</v>
      </c>
      <c r="U66" s="1">
        <v>0</v>
      </c>
      <c r="V66" s="1">
        <v>0</v>
      </c>
      <c r="W66" s="1">
        <v>6.8965520000000002E-3</v>
      </c>
      <c r="X66" s="1">
        <v>3.9817259999999997E-3</v>
      </c>
      <c r="Y66" s="1">
        <v>4.597701E-3</v>
      </c>
      <c r="Z66" s="1">
        <v>3.2510659999999999E-3</v>
      </c>
      <c r="AA66" s="1">
        <v>2.2988510000000002E-3</v>
      </c>
      <c r="AB66" s="1">
        <v>2.2988510000000002E-3</v>
      </c>
      <c r="AC66" s="1">
        <v>0</v>
      </c>
      <c r="AD66" s="1">
        <v>0</v>
      </c>
      <c r="AE66" s="1">
        <v>0</v>
      </c>
      <c r="AF66" s="1">
        <v>0</v>
      </c>
      <c r="AG66" s="1">
        <v>2.2988510000000002E-3</v>
      </c>
      <c r="AH66" s="1">
        <v>2.2988510000000002E-3</v>
      </c>
      <c r="AI66" s="1">
        <v>4.597701E-3</v>
      </c>
      <c r="AJ66" s="1">
        <v>3.2510659999999999E-3</v>
      </c>
      <c r="AK66" s="1">
        <v>4.597701E-3</v>
      </c>
      <c r="AL66" s="1">
        <v>3.2510659999999999E-3</v>
      </c>
      <c r="AM66" s="1">
        <v>0</v>
      </c>
      <c r="AN66" s="1">
        <v>0</v>
      </c>
      <c r="AO66" s="1">
        <v>2.2988510000000002E-3</v>
      </c>
      <c r="AP66" s="1">
        <v>2.2988510000000002E-3</v>
      </c>
    </row>
    <row r="67" spans="1:42" x14ac:dyDescent="0.2">
      <c r="A67">
        <v>2026030</v>
      </c>
      <c r="B67">
        <v>20260130</v>
      </c>
      <c r="C67">
        <v>142</v>
      </c>
      <c r="D67">
        <v>154</v>
      </c>
      <c r="E67">
        <v>200</v>
      </c>
      <c r="F67">
        <v>462</v>
      </c>
      <c r="G67">
        <v>1386</v>
      </c>
      <c r="H67">
        <v>90.096143999999995</v>
      </c>
      <c r="I67" s="1">
        <v>0</v>
      </c>
      <c r="J67" s="1">
        <v>0</v>
      </c>
      <c r="K67" s="1">
        <v>7.2150070000000005E-4</v>
      </c>
      <c r="L67" s="1">
        <v>7.2150070000000005E-4</v>
      </c>
      <c r="M67" s="3">
        <f t="shared" ref="M67:M113" si="2">ABS((I67-K67)*2/(I67+K67+0.0000000001))</f>
        <v>1.9999997228000301</v>
      </c>
      <c r="N67" s="1">
        <v>7.2150070000000005E-4</v>
      </c>
      <c r="O67" s="1">
        <v>7.2150070000000005E-4</v>
      </c>
      <c r="P67" s="1">
        <v>1.443001E-3</v>
      </c>
      <c r="Q67" s="1">
        <v>1.020356E-3</v>
      </c>
      <c r="R67" s="3">
        <f t="shared" ref="R67:R113" si="3">ABS((N67-P67)*2/(N67+P67+0.0000000001))</f>
        <v>0.66666638946661994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2.164502E-3</v>
      </c>
      <c r="AD67" s="1">
        <v>2.164502E-3</v>
      </c>
      <c r="AE67" s="1">
        <v>0</v>
      </c>
      <c r="AF67" s="1">
        <v>0</v>
      </c>
      <c r="AG67" s="1">
        <v>0</v>
      </c>
      <c r="AH67" s="1">
        <v>0</v>
      </c>
      <c r="AI67" s="1">
        <v>2.164502E-3</v>
      </c>
      <c r="AJ67" s="1">
        <v>2.164502E-3</v>
      </c>
      <c r="AK67" s="1">
        <v>0</v>
      </c>
      <c r="AL67" s="1">
        <v>0</v>
      </c>
      <c r="AM67" s="1">
        <v>0</v>
      </c>
      <c r="AN67" s="1">
        <v>0</v>
      </c>
      <c r="AO67" s="1">
        <v>4.329004E-3</v>
      </c>
      <c r="AP67" s="1">
        <v>3.0610680000000001E-3</v>
      </c>
    </row>
    <row r="68" spans="1:42" x14ac:dyDescent="0.2">
      <c r="A68">
        <v>2026031</v>
      </c>
      <c r="B68">
        <v>20260131</v>
      </c>
      <c r="C68">
        <v>143</v>
      </c>
      <c r="D68">
        <v>136</v>
      </c>
      <c r="E68">
        <v>200</v>
      </c>
      <c r="F68">
        <v>408</v>
      </c>
      <c r="G68">
        <v>1224</v>
      </c>
      <c r="H68">
        <v>90.096143999999995</v>
      </c>
      <c r="I68" s="1">
        <v>1.6339869999999999E-3</v>
      </c>
      <c r="J68" s="1">
        <v>1.1554029999999999E-3</v>
      </c>
      <c r="K68" s="1">
        <v>3.2679739999999999E-3</v>
      </c>
      <c r="L68" s="1">
        <v>1.6339869999999999E-3</v>
      </c>
      <c r="M68" s="3">
        <f t="shared" si="2"/>
        <v>0.66666665306666761</v>
      </c>
      <c r="N68" s="1">
        <v>8.1699349999999997E-4</v>
      </c>
      <c r="O68" s="1">
        <v>8.1699349999999997E-4</v>
      </c>
      <c r="P68" s="1">
        <v>8.1699349999999997E-4</v>
      </c>
      <c r="Q68" s="1">
        <v>8.1699349999999997E-4</v>
      </c>
      <c r="R68" s="3">
        <f t="shared" si="3"/>
        <v>0</v>
      </c>
      <c r="S68" s="1">
        <v>2.4509800000000002E-3</v>
      </c>
      <c r="T68" s="1">
        <v>2.4509800000000002E-3</v>
      </c>
      <c r="U68" s="1">
        <v>2.4509800000000002E-3</v>
      </c>
      <c r="V68" s="1">
        <v>2.4509800000000002E-3</v>
      </c>
      <c r="W68" s="1">
        <v>0</v>
      </c>
      <c r="X68" s="1">
        <v>0</v>
      </c>
      <c r="Y68" s="1">
        <v>4.9019609999999998E-3</v>
      </c>
      <c r="Z68" s="1">
        <v>3.46621E-3</v>
      </c>
      <c r="AA68" s="1">
        <v>0</v>
      </c>
      <c r="AB68" s="1">
        <v>0</v>
      </c>
      <c r="AC68" s="1">
        <v>4.9019609999999998E-3</v>
      </c>
      <c r="AD68" s="1">
        <v>3.46621E-3</v>
      </c>
      <c r="AE68" s="1">
        <v>0</v>
      </c>
      <c r="AF68" s="1">
        <v>0</v>
      </c>
      <c r="AG68" s="1">
        <v>0</v>
      </c>
      <c r="AH68" s="1">
        <v>0</v>
      </c>
      <c r="AI68" s="1">
        <v>2.4509800000000002E-3</v>
      </c>
      <c r="AJ68" s="1">
        <v>2.4509800000000002E-3</v>
      </c>
      <c r="AK68" s="1">
        <v>0</v>
      </c>
      <c r="AL68" s="1">
        <v>0</v>
      </c>
      <c r="AM68" s="1">
        <v>0</v>
      </c>
      <c r="AN68" s="1">
        <v>0</v>
      </c>
      <c r="AO68" s="1">
        <v>2.4509800000000002E-3</v>
      </c>
      <c r="AP68" s="1">
        <v>2.4509800000000002E-3</v>
      </c>
    </row>
    <row r="69" spans="1:42" x14ac:dyDescent="0.2">
      <c r="A69">
        <v>2026032</v>
      </c>
      <c r="B69">
        <v>20260201</v>
      </c>
      <c r="C69">
        <v>144</v>
      </c>
      <c r="D69">
        <v>79</v>
      </c>
      <c r="E69">
        <v>200</v>
      </c>
      <c r="F69">
        <v>237</v>
      </c>
      <c r="G69">
        <v>711</v>
      </c>
      <c r="H69">
        <v>90.096143999999995</v>
      </c>
      <c r="I69" s="1">
        <v>2.8129399999999999E-3</v>
      </c>
      <c r="J69" s="1">
        <v>1.9890490000000001E-3</v>
      </c>
      <c r="K69" s="1">
        <v>5.6258790000000003E-3</v>
      </c>
      <c r="L69" s="1">
        <v>2.8129399999999999E-3</v>
      </c>
      <c r="M69" s="3">
        <f t="shared" si="2"/>
        <v>0.66666650076667733</v>
      </c>
      <c r="N69" s="1">
        <v>2.8129399999999999E-3</v>
      </c>
      <c r="O69" s="1">
        <v>1.9890490000000001E-3</v>
      </c>
      <c r="P69" s="1">
        <v>0</v>
      </c>
      <c r="Q69" s="1">
        <v>0</v>
      </c>
      <c r="R69" s="3">
        <f t="shared" si="3"/>
        <v>1.9999999289000145</v>
      </c>
      <c r="S69" s="1">
        <v>0</v>
      </c>
      <c r="T69" s="1">
        <v>0</v>
      </c>
      <c r="U69" s="1">
        <v>0</v>
      </c>
      <c r="V69" s="1">
        <v>0</v>
      </c>
      <c r="W69" s="1">
        <v>8.4388190000000002E-3</v>
      </c>
      <c r="X69" s="1">
        <v>5.9671460000000004E-3</v>
      </c>
      <c r="Y69" s="1">
        <v>8.4388190000000002E-3</v>
      </c>
      <c r="Z69" s="1">
        <v>5.9671460000000004E-3</v>
      </c>
      <c r="AA69" s="1">
        <v>4.2194090000000004E-3</v>
      </c>
      <c r="AB69" s="1">
        <v>4.2194090000000004E-3</v>
      </c>
      <c r="AC69" s="1">
        <v>4.2194090000000004E-3</v>
      </c>
      <c r="AD69" s="1">
        <v>4.2194090000000004E-3</v>
      </c>
      <c r="AE69" s="1">
        <v>4.2194090000000004E-3</v>
      </c>
      <c r="AF69" s="1">
        <v>4.2194090000000004E-3</v>
      </c>
      <c r="AG69" s="1">
        <v>0</v>
      </c>
      <c r="AH69" s="1">
        <v>0</v>
      </c>
      <c r="AI69" s="1">
        <v>4.2194090000000004E-3</v>
      </c>
      <c r="AJ69" s="1">
        <v>4.2194090000000004E-3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</row>
    <row r="70" spans="1:42" x14ac:dyDescent="0.2">
      <c r="A70">
        <v>2026033</v>
      </c>
      <c r="B70">
        <v>20260202</v>
      </c>
      <c r="C70">
        <v>145</v>
      </c>
      <c r="D70">
        <v>101</v>
      </c>
      <c r="E70">
        <v>200</v>
      </c>
      <c r="F70">
        <v>303</v>
      </c>
      <c r="G70">
        <v>909</v>
      </c>
      <c r="H70">
        <v>74.990415999999996</v>
      </c>
      <c r="I70" s="1">
        <v>5.5005499999999999E-3</v>
      </c>
      <c r="J70" s="1">
        <v>2.4599209999999999E-3</v>
      </c>
      <c r="K70" s="1">
        <v>2.2002200000000001E-3</v>
      </c>
      <c r="L70" s="1">
        <v>1.55579E-3</v>
      </c>
      <c r="M70" s="3">
        <f t="shared" si="2"/>
        <v>0.85714284601224489</v>
      </c>
      <c r="N70" s="1">
        <v>3.3003300000000002E-3</v>
      </c>
      <c r="O70" s="1">
        <v>1.9054460000000001E-3</v>
      </c>
      <c r="P70" s="1">
        <v>1.1001100000000001E-3</v>
      </c>
      <c r="Q70" s="1">
        <v>1.1001100000000001E-3</v>
      </c>
      <c r="R70" s="3">
        <f t="shared" si="3"/>
        <v>0.99999997727500034</v>
      </c>
      <c r="S70" s="1">
        <v>9.9009900000000001E-3</v>
      </c>
      <c r="T70" s="1">
        <v>5.716339E-3</v>
      </c>
      <c r="U70" s="1">
        <v>0</v>
      </c>
      <c r="V70" s="1">
        <v>0</v>
      </c>
      <c r="W70" s="1">
        <v>6.6006600000000004E-3</v>
      </c>
      <c r="X70" s="1">
        <v>4.667371E-3</v>
      </c>
      <c r="Y70" s="1">
        <v>6.6006600000000004E-3</v>
      </c>
      <c r="Z70" s="1">
        <v>4.667371E-3</v>
      </c>
      <c r="AA70" s="1">
        <v>0</v>
      </c>
      <c r="AB70" s="1">
        <v>0</v>
      </c>
      <c r="AC70" s="1">
        <v>0</v>
      </c>
      <c r="AD70" s="1">
        <v>0</v>
      </c>
      <c r="AE70" s="1">
        <v>3.3003300000000002E-3</v>
      </c>
      <c r="AF70" s="1">
        <v>3.3003300000000002E-3</v>
      </c>
      <c r="AG70" s="1">
        <v>3.3003300000000002E-3</v>
      </c>
      <c r="AH70" s="1">
        <v>3.3003300000000002E-3</v>
      </c>
      <c r="AI70" s="1">
        <v>3.3003300000000002E-3</v>
      </c>
      <c r="AJ70" s="1">
        <v>3.3003300000000002E-3</v>
      </c>
      <c r="AK70" s="1">
        <v>0</v>
      </c>
      <c r="AL70" s="1">
        <v>0</v>
      </c>
      <c r="AM70" s="1">
        <v>0</v>
      </c>
      <c r="AN70" s="1">
        <v>0</v>
      </c>
      <c r="AO70" s="1">
        <v>3.3003300000000002E-3</v>
      </c>
      <c r="AP70" s="1">
        <v>3.3003300000000002E-3</v>
      </c>
    </row>
    <row r="71" spans="1:42" x14ac:dyDescent="0.2">
      <c r="A71">
        <v>2026034</v>
      </c>
      <c r="B71">
        <v>20260203</v>
      </c>
      <c r="C71">
        <v>146</v>
      </c>
      <c r="D71">
        <v>73</v>
      </c>
      <c r="E71">
        <v>201</v>
      </c>
      <c r="F71">
        <v>219</v>
      </c>
      <c r="G71">
        <v>657</v>
      </c>
      <c r="H71">
        <v>90.096143999999995</v>
      </c>
      <c r="I71" s="1">
        <v>4.5662100000000002E-3</v>
      </c>
      <c r="J71" s="1">
        <v>2.636303E-3</v>
      </c>
      <c r="K71" s="1">
        <v>0</v>
      </c>
      <c r="L71" s="1">
        <v>0</v>
      </c>
      <c r="M71" s="3">
        <f t="shared" si="2"/>
        <v>1.9999999562000006</v>
      </c>
      <c r="N71" s="1">
        <v>3.0441399999999999E-3</v>
      </c>
      <c r="O71" s="1">
        <v>2.152532E-3</v>
      </c>
      <c r="P71" s="1">
        <v>0</v>
      </c>
      <c r="Q71" s="1">
        <v>0</v>
      </c>
      <c r="R71" s="3">
        <f t="shared" si="3"/>
        <v>1.9999999343000014</v>
      </c>
      <c r="S71" s="1">
        <v>0</v>
      </c>
      <c r="T71" s="1">
        <v>0</v>
      </c>
      <c r="U71" s="1">
        <v>9.1324200000000005E-3</v>
      </c>
      <c r="V71" s="1">
        <v>6.4575960000000003E-3</v>
      </c>
      <c r="W71" s="1">
        <v>4.5662100000000002E-3</v>
      </c>
      <c r="X71" s="1">
        <v>4.5662100000000002E-3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9.1324200000000005E-3</v>
      </c>
      <c r="AH71" s="1">
        <v>6.4575960000000003E-3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</row>
    <row r="72" spans="1:42" x14ac:dyDescent="0.2">
      <c r="A72">
        <v>2026035</v>
      </c>
      <c r="B72">
        <v>20260204</v>
      </c>
      <c r="C72">
        <v>147</v>
      </c>
      <c r="D72">
        <v>60</v>
      </c>
      <c r="E72">
        <v>200</v>
      </c>
      <c r="F72">
        <v>180</v>
      </c>
      <c r="G72">
        <v>540</v>
      </c>
      <c r="H72">
        <v>104.944388</v>
      </c>
      <c r="I72" s="1">
        <v>3.7037039999999999E-3</v>
      </c>
      <c r="J72" s="1">
        <v>2.618914E-3</v>
      </c>
      <c r="K72" s="1">
        <v>1.851852E-3</v>
      </c>
      <c r="L72" s="1">
        <v>1.851852E-3</v>
      </c>
      <c r="M72" s="3">
        <f t="shared" si="2"/>
        <v>0.66666665466666797</v>
      </c>
      <c r="N72" s="1">
        <v>7.4074070000000004E-3</v>
      </c>
      <c r="O72" s="1">
        <v>3.7037039999999999E-3</v>
      </c>
      <c r="P72" s="1">
        <v>0</v>
      </c>
      <c r="Q72" s="1">
        <v>0</v>
      </c>
      <c r="R72" s="3">
        <f t="shared" si="3"/>
        <v>1.9999999729999991</v>
      </c>
      <c r="S72" s="1">
        <v>0</v>
      </c>
      <c r="T72" s="1">
        <v>0</v>
      </c>
      <c r="U72" s="1">
        <v>0</v>
      </c>
      <c r="V72" s="1">
        <v>0</v>
      </c>
      <c r="W72" s="1">
        <v>1.111111E-2</v>
      </c>
      <c r="X72" s="1">
        <v>7.8567419999999999E-3</v>
      </c>
      <c r="Y72" s="1">
        <v>5.5555559999999997E-3</v>
      </c>
      <c r="Z72" s="1">
        <v>5.5555559999999997E-3</v>
      </c>
      <c r="AA72" s="1">
        <v>0</v>
      </c>
      <c r="AB72" s="1">
        <v>0</v>
      </c>
      <c r="AC72" s="1">
        <v>0</v>
      </c>
      <c r="AD72" s="1">
        <v>0</v>
      </c>
      <c r="AE72" s="1">
        <v>1.111111E-2</v>
      </c>
      <c r="AF72" s="1">
        <v>7.8567419999999999E-3</v>
      </c>
      <c r="AG72" s="1">
        <v>5.5555559999999997E-3</v>
      </c>
      <c r="AH72" s="1">
        <v>5.5555559999999997E-3</v>
      </c>
      <c r="AI72" s="1">
        <v>5.5555559999999997E-3</v>
      </c>
      <c r="AJ72" s="1">
        <v>5.5555559999999997E-3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</row>
    <row r="73" spans="1:42" x14ac:dyDescent="0.2">
      <c r="A73">
        <v>2026036</v>
      </c>
      <c r="B73">
        <v>20260205</v>
      </c>
      <c r="C73">
        <v>148</v>
      </c>
      <c r="D73">
        <v>38</v>
      </c>
      <c r="E73">
        <v>200</v>
      </c>
      <c r="F73">
        <v>114</v>
      </c>
      <c r="G73">
        <v>342</v>
      </c>
      <c r="H73">
        <v>90.096143999999995</v>
      </c>
      <c r="I73" s="1">
        <v>5.8479530000000004E-3</v>
      </c>
      <c r="J73" s="1">
        <v>4.1351269999999997E-3</v>
      </c>
      <c r="K73" s="1">
        <v>5.8479530000000004E-3</v>
      </c>
      <c r="L73" s="1">
        <v>4.1351269999999997E-3</v>
      </c>
      <c r="M73" s="3">
        <f t="shared" si="2"/>
        <v>0</v>
      </c>
      <c r="N73" s="1">
        <v>5.8479530000000004E-3</v>
      </c>
      <c r="O73" s="1">
        <v>4.1351269999999997E-3</v>
      </c>
      <c r="P73" s="1">
        <v>2.9239769999999999E-3</v>
      </c>
      <c r="Q73" s="1">
        <v>2.9239769999999999E-3</v>
      </c>
      <c r="R73" s="3">
        <f t="shared" si="3"/>
        <v>0.66666650706667174</v>
      </c>
      <c r="S73" s="1">
        <v>0</v>
      </c>
      <c r="T73" s="1">
        <v>0</v>
      </c>
      <c r="U73" s="1">
        <v>8.7719300000000007E-3</v>
      </c>
      <c r="V73" s="1">
        <v>8.7719300000000007E-3</v>
      </c>
      <c r="W73" s="1">
        <v>8.7719300000000007E-3</v>
      </c>
      <c r="X73" s="1">
        <v>8.7719300000000007E-3</v>
      </c>
      <c r="Y73" s="1">
        <v>0</v>
      </c>
      <c r="Z73" s="1">
        <v>0</v>
      </c>
      <c r="AA73" s="1">
        <v>8.7719300000000007E-3</v>
      </c>
      <c r="AB73" s="1">
        <v>8.7719300000000007E-3</v>
      </c>
      <c r="AC73" s="1">
        <v>8.7719300000000007E-3</v>
      </c>
      <c r="AD73" s="1">
        <v>8.7719300000000007E-3</v>
      </c>
      <c r="AE73" s="1">
        <v>8.7719300000000007E-3</v>
      </c>
      <c r="AF73" s="1">
        <v>8.7719300000000007E-3</v>
      </c>
      <c r="AG73" s="1">
        <v>0</v>
      </c>
      <c r="AH73" s="1">
        <v>0</v>
      </c>
      <c r="AI73" s="1">
        <v>8.7719300000000007E-3</v>
      </c>
      <c r="AJ73" s="1">
        <v>8.7719300000000007E-3</v>
      </c>
      <c r="AK73" s="1">
        <v>8.7719300000000007E-3</v>
      </c>
      <c r="AL73" s="1">
        <v>8.7719300000000007E-3</v>
      </c>
      <c r="AM73" s="1">
        <v>0</v>
      </c>
      <c r="AN73" s="1">
        <v>0</v>
      </c>
      <c r="AO73" s="1">
        <v>0</v>
      </c>
      <c r="AP73" s="1">
        <v>0</v>
      </c>
    </row>
    <row r="74" spans="1:42" x14ac:dyDescent="0.2">
      <c r="A74">
        <v>2026037</v>
      </c>
      <c r="B74">
        <v>20260206</v>
      </c>
      <c r="C74">
        <v>149</v>
      </c>
      <c r="D74">
        <v>126</v>
      </c>
      <c r="E74">
        <v>200</v>
      </c>
      <c r="F74">
        <v>378</v>
      </c>
      <c r="G74">
        <v>1134</v>
      </c>
      <c r="H74">
        <v>74.990415999999996</v>
      </c>
      <c r="I74" s="1">
        <v>1.7636679999999999E-3</v>
      </c>
      <c r="J74" s="1">
        <v>1.2471019999999999E-3</v>
      </c>
      <c r="K74" s="1">
        <v>7.0546740000000004E-3</v>
      </c>
      <c r="L74" s="1">
        <v>2.4942039999999999E-3</v>
      </c>
      <c r="M74" s="3">
        <f t="shared" si="2"/>
        <v>1.2000001678320014</v>
      </c>
      <c r="N74" s="1">
        <v>1.7636679999999999E-3</v>
      </c>
      <c r="O74" s="1">
        <v>1.2471019999999999E-3</v>
      </c>
      <c r="P74" s="1">
        <v>4.4091709999999999E-3</v>
      </c>
      <c r="Q74" s="1">
        <v>1.9718409999999998E-3</v>
      </c>
      <c r="R74" s="3">
        <f t="shared" si="3"/>
        <v>0.85714302840001144</v>
      </c>
      <c r="S74" s="1">
        <v>2.645503E-3</v>
      </c>
      <c r="T74" s="1">
        <v>2.645503E-3</v>
      </c>
      <c r="U74" s="1">
        <v>2.645503E-3</v>
      </c>
      <c r="V74" s="1">
        <v>2.645503E-3</v>
      </c>
      <c r="W74" s="1">
        <v>0</v>
      </c>
      <c r="X74" s="1">
        <v>0</v>
      </c>
      <c r="Y74" s="1">
        <v>1.0582009999999999E-2</v>
      </c>
      <c r="Z74" s="1">
        <v>5.2910049999999997E-3</v>
      </c>
      <c r="AA74" s="1">
        <v>7.9365080000000001E-3</v>
      </c>
      <c r="AB74" s="1">
        <v>4.5821450000000001E-3</v>
      </c>
      <c r="AC74" s="1">
        <v>2.645503E-3</v>
      </c>
      <c r="AD74" s="1">
        <v>2.645503E-3</v>
      </c>
      <c r="AE74" s="1">
        <v>0</v>
      </c>
      <c r="AF74" s="1">
        <v>0</v>
      </c>
      <c r="AG74" s="1">
        <v>0</v>
      </c>
      <c r="AH74" s="1">
        <v>0</v>
      </c>
      <c r="AI74" s="1">
        <v>5.2910049999999997E-3</v>
      </c>
      <c r="AJ74" s="1">
        <v>3.7413059999999998E-3</v>
      </c>
      <c r="AK74" s="1">
        <v>2.645503E-3</v>
      </c>
      <c r="AL74" s="1">
        <v>2.645503E-3</v>
      </c>
      <c r="AM74" s="1">
        <v>5.2910049999999997E-3</v>
      </c>
      <c r="AN74" s="1">
        <v>3.7413059999999998E-3</v>
      </c>
      <c r="AO74" s="1">
        <v>5.2910049999999997E-3</v>
      </c>
      <c r="AP74" s="1">
        <v>3.7413059999999998E-3</v>
      </c>
    </row>
    <row r="75" spans="1:42" x14ac:dyDescent="0.2">
      <c r="A75">
        <v>2026038</v>
      </c>
      <c r="B75">
        <v>20260207</v>
      </c>
      <c r="C75">
        <v>150</v>
      </c>
      <c r="D75">
        <v>110</v>
      </c>
      <c r="E75">
        <v>200</v>
      </c>
      <c r="F75">
        <v>330</v>
      </c>
      <c r="G75">
        <v>990</v>
      </c>
      <c r="H75">
        <v>90.096143999999995</v>
      </c>
      <c r="I75" s="1">
        <v>3.0303029999999998E-3</v>
      </c>
      <c r="J75" s="1">
        <v>1.749546E-3</v>
      </c>
      <c r="K75" s="1">
        <v>0</v>
      </c>
      <c r="L75" s="1">
        <v>0</v>
      </c>
      <c r="M75" s="3">
        <f t="shared" si="2"/>
        <v>1.9999999340000014</v>
      </c>
      <c r="N75" s="1">
        <v>5.0505050000000003E-3</v>
      </c>
      <c r="O75" s="1">
        <v>2.258655E-3</v>
      </c>
      <c r="P75" s="1">
        <v>3.0303029999999998E-3</v>
      </c>
      <c r="Q75" s="1">
        <v>1.749546E-3</v>
      </c>
      <c r="R75" s="3">
        <f t="shared" si="3"/>
        <v>0.49999999381250015</v>
      </c>
      <c r="S75" s="1">
        <v>0</v>
      </c>
      <c r="T75" s="1">
        <v>0</v>
      </c>
      <c r="U75" s="1">
        <v>3.0303029999999998E-3</v>
      </c>
      <c r="V75" s="1">
        <v>3.0303029999999998E-3</v>
      </c>
      <c r="W75" s="1">
        <v>6.0606059999999996E-3</v>
      </c>
      <c r="X75" s="1">
        <v>4.2854959999999997E-3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6.0606059999999996E-3</v>
      </c>
      <c r="AH75" s="1">
        <v>4.2854959999999997E-3</v>
      </c>
      <c r="AI75" s="1">
        <v>9.0909089999999994E-3</v>
      </c>
      <c r="AJ75" s="1">
        <v>5.2486390000000003E-3</v>
      </c>
      <c r="AK75" s="1">
        <v>6.0606059999999996E-3</v>
      </c>
      <c r="AL75" s="1">
        <v>4.2854959999999997E-3</v>
      </c>
      <c r="AM75" s="1">
        <v>0</v>
      </c>
      <c r="AN75" s="1">
        <v>0</v>
      </c>
      <c r="AO75" s="1">
        <v>3.0303029999999998E-3</v>
      </c>
      <c r="AP75" s="1">
        <v>3.0303029999999998E-3</v>
      </c>
    </row>
    <row r="76" spans="1:42" x14ac:dyDescent="0.2">
      <c r="A76">
        <v>2026039</v>
      </c>
      <c r="B76">
        <v>20260208</v>
      </c>
      <c r="C76">
        <v>151</v>
      </c>
      <c r="D76">
        <v>126</v>
      </c>
      <c r="E76">
        <v>175</v>
      </c>
      <c r="F76">
        <v>378</v>
      </c>
      <c r="G76">
        <v>1134</v>
      </c>
      <c r="H76">
        <v>104.944388</v>
      </c>
      <c r="I76" s="1">
        <v>2.645503E-3</v>
      </c>
      <c r="J76" s="1">
        <v>1.5273820000000001E-3</v>
      </c>
      <c r="K76" s="1">
        <v>7.0546740000000004E-3</v>
      </c>
      <c r="L76" s="1">
        <v>2.4942039999999999E-3</v>
      </c>
      <c r="M76" s="3">
        <f t="shared" si="2"/>
        <v>0.90909082474380798</v>
      </c>
      <c r="N76" s="1">
        <v>3.5273370000000002E-3</v>
      </c>
      <c r="O76" s="1">
        <v>1.7636679999999999E-3</v>
      </c>
      <c r="P76" s="1">
        <v>1.7636679999999999E-3</v>
      </c>
      <c r="Q76" s="1">
        <v>1.2471019999999999E-3</v>
      </c>
      <c r="R76" s="3">
        <f t="shared" si="3"/>
        <v>0.66666690606667545</v>
      </c>
      <c r="S76" s="1">
        <v>5.2910049999999997E-3</v>
      </c>
      <c r="T76" s="1">
        <v>3.7413059999999998E-3</v>
      </c>
      <c r="U76" s="1">
        <v>0</v>
      </c>
      <c r="V76" s="1">
        <v>0</v>
      </c>
      <c r="W76" s="1">
        <v>2.645503E-3</v>
      </c>
      <c r="X76" s="1">
        <v>2.645503E-3</v>
      </c>
      <c r="Y76" s="1">
        <v>0</v>
      </c>
      <c r="Z76" s="1">
        <v>0</v>
      </c>
      <c r="AA76" s="1">
        <v>7.9365080000000001E-3</v>
      </c>
      <c r="AB76" s="1">
        <v>4.5821450000000001E-3</v>
      </c>
      <c r="AC76" s="1">
        <v>1.322751E-2</v>
      </c>
      <c r="AD76" s="1">
        <v>5.9155240000000001E-3</v>
      </c>
      <c r="AE76" s="1">
        <v>2.645503E-3</v>
      </c>
      <c r="AF76" s="1">
        <v>2.645503E-3</v>
      </c>
      <c r="AG76" s="1">
        <v>5.2910049999999997E-3</v>
      </c>
      <c r="AH76" s="1">
        <v>3.7413059999999998E-3</v>
      </c>
      <c r="AI76" s="1">
        <v>2.645503E-3</v>
      </c>
      <c r="AJ76" s="1">
        <v>2.645503E-3</v>
      </c>
      <c r="AK76" s="1">
        <v>0</v>
      </c>
      <c r="AL76" s="1">
        <v>0</v>
      </c>
      <c r="AM76" s="1">
        <v>2.645503E-3</v>
      </c>
      <c r="AN76" s="1">
        <v>2.645503E-3</v>
      </c>
      <c r="AO76" s="1">
        <v>2.645503E-3</v>
      </c>
      <c r="AP76" s="1">
        <v>2.645503E-3</v>
      </c>
    </row>
    <row r="77" spans="1:42" x14ac:dyDescent="0.2">
      <c r="A77">
        <v>2026040</v>
      </c>
      <c r="B77">
        <v>20260209</v>
      </c>
      <c r="C77">
        <v>152</v>
      </c>
      <c r="D77">
        <v>26</v>
      </c>
      <c r="E77">
        <v>201</v>
      </c>
      <c r="F77">
        <v>78</v>
      </c>
      <c r="G77">
        <v>234</v>
      </c>
      <c r="H77">
        <v>90.096143999999995</v>
      </c>
      <c r="I77" s="1">
        <v>4.273504E-3</v>
      </c>
      <c r="J77" s="1">
        <v>4.273504E-3</v>
      </c>
      <c r="K77" s="1">
        <v>0</v>
      </c>
      <c r="L77" s="1">
        <v>0</v>
      </c>
      <c r="M77" s="3">
        <f t="shared" si="2"/>
        <v>1.9999999531999983</v>
      </c>
      <c r="N77" s="1">
        <v>4.273504E-3</v>
      </c>
      <c r="O77" s="1">
        <v>4.273504E-3</v>
      </c>
      <c r="P77" s="1">
        <v>0</v>
      </c>
      <c r="Q77" s="1">
        <v>0</v>
      </c>
      <c r="R77" s="3">
        <f t="shared" si="3"/>
        <v>1.9999999531999983</v>
      </c>
      <c r="S77" s="1">
        <v>1.282051E-2</v>
      </c>
      <c r="T77" s="1">
        <v>1.282051E-2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1.282051E-2</v>
      </c>
      <c r="AJ77" s="1">
        <v>1.282051E-2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</row>
    <row r="78" spans="1:42" x14ac:dyDescent="0.2">
      <c r="A78">
        <v>2026041</v>
      </c>
      <c r="B78">
        <v>20260210</v>
      </c>
      <c r="C78">
        <v>153</v>
      </c>
      <c r="D78">
        <v>20</v>
      </c>
      <c r="E78">
        <v>201</v>
      </c>
      <c r="F78">
        <v>60</v>
      </c>
      <c r="G78">
        <v>180</v>
      </c>
      <c r="H78">
        <v>74.990415999999996</v>
      </c>
      <c r="I78" s="1">
        <v>5.5555559999999997E-3</v>
      </c>
      <c r="J78" s="1">
        <v>5.5555559999999997E-3</v>
      </c>
      <c r="K78" s="1">
        <v>0</v>
      </c>
      <c r="L78" s="1">
        <v>0</v>
      </c>
      <c r="M78" s="3">
        <f t="shared" si="2"/>
        <v>1.9999999640000037</v>
      </c>
      <c r="N78" s="1">
        <v>1.111111E-2</v>
      </c>
      <c r="O78" s="1">
        <v>7.8567419999999999E-3</v>
      </c>
      <c r="P78" s="1">
        <v>5.5555559999999997E-3</v>
      </c>
      <c r="Q78" s="1">
        <v>5.5555559999999997E-3</v>
      </c>
      <c r="R78" s="3">
        <f t="shared" si="3"/>
        <v>0.66666650266666116</v>
      </c>
      <c r="S78" s="1">
        <v>1.6666670000000001E-2</v>
      </c>
      <c r="T78" s="1">
        <v>1.6666670000000001E-2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3.3333330000000001E-2</v>
      </c>
      <c r="AF78" s="1">
        <v>2.3570230000000001E-2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1.6666670000000001E-2</v>
      </c>
      <c r="AN78" s="1">
        <v>1.6666670000000001E-2</v>
      </c>
      <c r="AO78" s="1">
        <v>0</v>
      </c>
      <c r="AP78" s="1">
        <v>0</v>
      </c>
    </row>
    <row r="79" spans="1:42" x14ac:dyDescent="0.2">
      <c r="A79">
        <v>2026042</v>
      </c>
      <c r="B79">
        <v>20260211</v>
      </c>
      <c r="C79">
        <v>154</v>
      </c>
      <c r="D79">
        <v>66</v>
      </c>
      <c r="E79">
        <v>201</v>
      </c>
      <c r="F79">
        <v>198</v>
      </c>
      <c r="G79">
        <v>594</v>
      </c>
      <c r="H79">
        <v>90.096143999999995</v>
      </c>
      <c r="I79" s="1">
        <v>1.6835019999999999E-3</v>
      </c>
      <c r="J79" s="1">
        <v>1.6835019999999999E-3</v>
      </c>
      <c r="K79" s="1">
        <v>6.7340070000000002E-3</v>
      </c>
      <c r="L79" s="1">
        <v>3.3670029999999999E-3</v>
      </c>
      <c r="M79" s="3">
        <f t="shared" si="2"/>
        <v>1.199999890704009</v>
      </c>
      <c r="N79" s="1">
        <v>5.0505050000000003E-3</v>
      </c>
      <c r="O79" s="1">
        <v>2.9159099999999999E-3</v>
      </c>
      <c r="P79" s="1">
        <v>0</v>
      </c>
      <c r="Q79" s="1">
        <v>0</v>
      </c>
      <c r="R79" s="3">
        <f t="shared" si="3"/>
        <v>1.9999999604000005</v>
      </c>
      <c r="S79" s="1">
        <v>5.0505050000000003E-3</v>
      </c>
      <c r="T79" s="1">
        <v>5.0505050000000003E-3</v>
      </c>
      <c r="U79" s="1">
        <v>0</v>
      </c>
      <c r="V79" s="1">
        <v>0</v>
      </c>
      <c r="W79" s="1">
        <v>0</v>
      </c>
      <c r="X79" s="1">
        <v>0</v>
      </c>
      <c r="Y79" s="1">
        <v>1.0101010000000001E-2</v>
      </c>
      <c r="Z79" s="1">
        <v>7.1424929999999998E-3</v>
      </c>
      <c r="AA79" s="1">
        <v>1.0101010000000001E-2</v>
      </c>
      <c r="AB79" s="1">
        <v>7.1424929999999998E-3</v>
      </c>
      <c r="AC79" s="1">
        <v>0</v>
      </c>
      <c r="AD79" s="1">
        <v>0</v>
      </c>
      <c r="AE79" s="1">
        <v>1.0101010000000001E-2</v>
      </c>
      <c r="AF79" s="1">
        <v>7.1424929999999998E-3</v>
      </c>
      <c r="AG79" s="1">
        <v>0</v>
      </c>
      <c r="AH79" s="1">
        <v>0</v>
      </c>
      <c r="AI79" s="1">
        <v>5.0505050000000003E-3</v>
      </c>
      <c r="AJ79" s="1">
        <v>5.0505050000000003E-3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</row>
    <row r="80" spans="1:42" x14ac:dyDescent="0.2">
      <c r="A80">
        <v>2026043</v>
      </c>
      <c r="B80">
        <v>20260212</v>
      </c>
      <c r="C80">
        <v>155</v>
      </c>
      <c r="D80">
        <v>167</v>
      </c>
      <c r="E80">
        <v>201</v>
      </c>
      <c r="F80">
        <v>501</v>
      </c>
      <c r="G80">
        <v>1503</v>
      </c>
      <c r="H80">
        <v>104.944388</v>
      </c>
      <c r="I80" s="1">
        <v>4.657352E-3</v>
      </c>
      <c r="J80" s="1">
        <v>1.760314E-3</v>
      </c>
      <c r="K80" s="1">
        <v>5.3226879999999999E-3</v>
      </c>
      <c r="L80" s="1">
        <v>1.8818540000000001E-3</v>
      </c>
      <c r="M80" s="3">
        <f t="shared" si="2"/>
        <v>0.13333333199733335</v>
      </c>
      <c r="N80" s="1">
        <v>1.330672E-3</v>
      </c>
      <c r="O80" s="1">
        <v>9.409272E-4</v>
      </c>
      <c r="P80" s="1">
        <v>6.6533599999999999E-4</v>
      </c>
      <c r="Q80" s="1">
        <v>6.6533599999999999E-4</v>
      </c>
      <c r="R80" s="3">
        <f t="shared" si="3"/>
        <v>0.66666663326666853</v>
      </c>
      <c r="S80" s="1">
        <v>3.9920160000000001E-3</v>
      </c>
      <c r="T80" s="1">
        <v>2.8227819999999998E-3</v>
      </c>
      <c r="U80" s="1">
        <v>0</v>
      </c>
      <c r="V80" s="1">
        <v>0</v>
      </c>
      <c r="W80" s="1">
        <v>9.9800400000000008E-3</v>
      </c>
      <c r="X80" s="1">
        <v>4.4632099999999996E-3</v>
      </c>
      <c r="Y80" s="1">
        <v>7.9840320000000003E-3</v>
      </c>
      <c r="Z80" s="1">
        <v>3.9920160000000001E-3</v>
      </c>
      <c r="AA80" s="1">
        <v>1.9960080000000001E-3</v>
      </c>
      <c r="AB80" s="1">
        <v>1.9960080000000001E-3</v>
      </c>
      <c r="AC80" s="1">
        <v>5.9880239999999998E-3</v>
      </c>
      <c r="AD80" s="1">
        <v>3.457187E-3</v>
      </c>
      <c r="AE80" s="1">
        <v>0</v>
      </c>
      <c r="AF80" s="1">
        <v>0</v>
      </c>
      <c r="AG80" s="1">
        <v>1.9960080000000001E-3</v>
      </c>
      <c r="AH80" s="1">
        <v>1.9960080000000001E-3</v>
      </c>
      <c r="AI80" s="1">
        <v>1.9960080000000001E-3</v>
      </c>
      <c r="AJ80" s="1">
        <v>1.9960080000000001E-3</v>
      </c>
      <c r="AK80" s="1">
        <v>0</v>
      </c>
      <c r="AL80" s="1">
        <v>0</v>
      </c>
      <c r="AM80" s="1">
        <v>0</v>
      </c>
      <c r="AN80" s="1">
        <v>0</v>
      </c>
      <c r="AO80" s="1">
        <v>1.9960080000000001E-3</v>
      </c>
      <c r="AP80" s="1">
        <v>1.9960080000000001E-3</v>
      </c>
    </row>
    <row r="81" spans="1:42" x14ac:dyDescent="0.2">
      <c r="A81">
        <v>2026044</v>
      </c>
      <c r="B81">
        <v>20260213</v>
      </c>
      <c r="C81">
        <v>156</v>
      </c>
      <c r="D81">
        <v>8</v>
      </c>
      <c r="E81">
        <v>201</v>
      </c>
      <c r="F81">
        <v>24</v>
      </c>
      <c r="G81">
        <v>72</v>
      </c>
      <c r="H81">
        <v>90.096143999999995</v>
      </c>
      <c r="I81" s="1">
        <v>0</v>
      </c>
      <c r="J81" s="1">
        <v>0</v>
      </c>
      <c r="K81" s="1">
        <v>1.3888889999999999E-2</v>
      </c>
      <c r="L81" s="1">
        <v>1.3888889999999999E-2</v>
      </c>
      <c r="M81" s="3">
        <f t="shared" si="2"/>
        <v>1.9999999856000013</v>
      </c>
      <c r="N81" s="1">
        <v>0</v>
      </c>
      <c r="O81" s="1">
        <v>0</v>
      </c>
      <c r="P81" s="1">
        <v>0</v>
      </c>
      <c r="Q81" s="1">
        <v>0</v>
      </c>
      <c r="R81" s="3">
        <f t="shared" si="3"/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4.1666670000000003E-2</v>
      </c>
      <c r="AB81" s="1">
        <v>4.1666670000000003E-2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</row>
    <row r="82" spans="1:42" x14ac:dyDescent="0.2">
      <c r="A82">
        <v>2026045</v>
      </c>
      <c r="B82">
        <v>20260214</v>
      </c>
      <c r="C82">
        <v>157</v>
      </c>
      <c r="D82">
        <v>0</v>
      </c>
      <c r="E82">
        <v>201</v>
      </c>
      <c r="F82">
        <v>0</v>
      </c>
      <c r="G82">
        <v>0</v>
      </c>
      <c r="H82">
        <v>74.990415999999996</v>
      </c>
      <c r="I82" s="1">
        <v>0</v>
      </c>
      <c r="J82" s="1">
        <v>0</v>
      </c>
      <c r="K82" s="1">
        <v>0</v>
      </c>
      <c r="L82" s="1">
        <v>0</v>
      </c>
      <c r="M82" s="3">
        <f t="shared" si="2"/>
        <v>0</v>
      </c>
      <c r="N82" s="1">
        <v>0</v>
      </c>
      <c r="O82" s="1">
        <v>0</v>
      </c>
      <c r="P82" s="1">
        <v>0</v>
      </c>
      <c r="Q82" s="1">
        <v>0</v>
      </c>
      <c r="R82" s="3">
        <f t="shared" si="3"/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</row>
    <row r="83" spans="1:42" x14ac:dyDescent="0.2">
      <c r="A83">
        <v>2026046</v>
      </c>
      <c r="B83">
        <v>20260215</v>
      </c>
      <c r="C83">
        <v>158</v>
      </c>
      <c r="D83">
        <v>15</v>
      </c>
      <c r="E83">
        <v>201</v>
      </c>
      <c r="F83">
        <v>45</v>
      </c>
      <c r="G83">
        <v>135</v>
      </c>
      <c r="H83">
        <v>90.096143999999995</v>
      </c>
      <c r="I83" s="1">
        <v>7.4074070000000004E-3</v>
      </c>
      <c r="J83" s="1">
        <v>7.4074070000000004E-3</v>
      </c>
      <c r="K83" s="1">
        <v>7.4074070000000004E-3</v>
      </c>
      <c r="L83" s="1">
        <v>7.4074070000000004E-3</v>
      </c>
      <c r="M83" s="3">
        <f t="shared" si="2"/>
        <v>0</v>
      </c>
      <c r="N83" s="1">
        <v>7.4074070000000004E-3</v>
      </c>
      <c r="O83" s="1">
        <v>7.4074070000000004E-3</v>
      </c>
      <c r="P83" s="1">
        <v>0</v>
      </c>
      <c r="Q83" s="1">
        <v>0</v>
      </c>
      <c r="R83" s="3">
        <f t="shared" si="3"/>
        <v>1.9999999729999991</v>
      </c>
      <c r="S83" s="1">
        <v>0</v>
      </c>
      <c r="T83" s="1">
        <v>0</v>
      </c>
      <c r="U83" s="1">
        <v>0</v>
      </c>
      <c r="V83" s="1">
        <v>0</v>
      </c>
      <c r="W83" s="1">
        <v>2.2222220000000001E-2</v>
      </c>
      <c r="X83" s="1">
        <v>2.2222220000000001E-2</v>
      </c>
      <c r="Y83" s="1">
        <v>0</v>
      </c>
      <c r="Z83" s="1">
        <v>0</v>
      </c>
      <c r="AA83" s="1">
        <v>0</v>
      </c>
      <c r="AB83" s="1">
        <v>0</v>
      </c>
      <c r="AC83" s="1">
        <v>2.2222220000000001E-2</v>
      </c>
      <c r="AD83" s="1">
        <v>2.2222220000000001E-2</v>
      </c>
      <c r="AE83" s="1">
        <v>0</v>
      </c>
      <c r="AF83" s="1">
        <v>0</v>
      </c>
      <c r="AG83" s="1">
        <v>0</v>
      </c>
      <c r="AH83" s="1">
        <v>0</v>
      </c>
      <c r="AI83" s="1">
        <v>2.2222220000000001E-2</v>
      </c>
      <c r="AJ83" s="1">
        <v>2.2222220000000001E-2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</row>
    <row r="84" spans="1:42" x14ac:dyDescent="0.2">
      <c r="A84">
        <v>2026047</v>
      </c>
      <c r="B84">
        <v>20260216</v>
      </c>
      <c r="C84">
        <v>159</v>
      </c>
      <c r="D84">
        <v>197</v>
      </c>
      <c r="E84">
        <v>201</v>
      </c>
      <c r="F84">
        <v>591</v>
      </c>
      <c r="G84">
        <v>1773</v>
      </c>
      <c r="H84">
        <v>104.944388</v>
      </c>
      <c r="I84" s="1">
        <v>1.6920469999999999E-3</v>
      </c>
      <c r="J84" s="1">
        <v>9.7690400000000001E-4</v>
      </c>
      <c r="K84" s="1">
        <v>2.8200790000000001E-3</v>
      </c>
      <c r="L84" s="1">
        <v>1.261178E-3</v>
      </c>
      <c r="M84" s="3">
        <f t="shared" si="2"/>
        <v>0.50000021054376131</v>
      </c>
      <c r="N84" s="1">
        <v>4.512126E-3</v>
      </c>
      <c r="O84" s="1">
        <v>1.5952780000000001E-3</v>
      </c>
      <c r="P84" s="1">
        <v>2.256063E-3</v>
      </c>
      <c r="Q84" s="1">
        <v>1.1280319999999999E-3</v>
      </c>
      <c r="R84" s="3">
        <f t="shared" si="3"/>
        <v>0.66666665681666615</v>
      </c>
      <c r="S84" s="1">
        <v>1.6920469999999999E-3</v>
      </c>
      <c r="T84" s="1">
        <v>1.6920469999999999E-3</v>
      </c>
      <c r="U84" s="1">
        <v>3.3840950000000002E-3</v>
      </c>
      <c r="V84" s="1">
        <v>2.3929160000000001E-3</v>
      </c>
      <c r="W84" s="1">
        <v>0</v>
      </c>
      <c r="X84" s="1">
        <v>0</v>
      </c>
      <c r="Y84" s="1">
        <v>3.3840950000000002E-3</v>
      </c>
      <c r="Z84" s="1">
        <v>2.3929160000000001E-3</v>
      </c>
      <c r="AA84" s="1">
        <v>1.6920469999999999E-3</v>
      </c>
      <c r="AB84" s="1">
        <v>1.6920469999999999E-3</v>
      </c>
      <c r="AC84" s="1">
        <v>3.3840950000000002E-3</v>
      </c>
      <c r="AD84" s="1">
        <v>2.3929160000000001E-3</v>
      </c>
      <c r="AE84" s="1">
        <v>3.3840950000000002E-3</v>
      </c>
      <c r="AF84" s="1">
        <v>2.3929160000000001E-3</v>
      </c>
      <c r="AG84" s="1">
        <v>0</v>
      </c>
      <c r="AH84" s="1">
        <v>0</v>
      </c>
      <c r="AI84" s="1">
        <v>1.015228E-2</v>
      </c>
      <c r="AJ84" s="1">
        <v>4.1446529999999999E-3</v>
      </c>
      <c r="AK84" s="1">
        <v>5.0761419999999996E-3</v>
      </c>
      <c r="AL84" s="1">
        <v>2.9307119999999998E-3</v>
      </c>
      <c r="AM84" s="1">
        <v>0</v>
      </c>
      <c r="AN84" s="1">
        <v>0</v>
      </c>
      <c r="AO84" s="1">
        <v>1.6920469999999999E-3</v>
      </c>
      <c r="AP84" s="1">
        <v>1.6920469999999999E-3</v>
      </c>
    </row>
    <row r="85" spans="1:42" x14ac:dyDescent="0.2">
      <c r="A85">
        <v>2026048</v>
      </c>
      <c r="B85">
        <v>20260217</v>
      </c>
      <c r="C85">
        <v>160</v>
      </c>
      <c r="D85">
        <v>141</v>
      </c>
      <c r="E85">
        <v>201</v>
      </c>
      <c r="F85">
        <v>423</v>
      </c>
      <c r="G85">
        <v>1269</v>
      </c>
      <c r="H85">
        <v>90.096143999999995</v>
      </c>
      <c r="I85" s="1">
        <v>3.9401100000000001E-3</v>
      </c>
      <c r="J85" s="1">
        <v>1.762071E-3</v>
      </c>
      <c r="K85" s="1">
        <v>3.9401100000000001E-3</v>
      </c>
      <c r="L85" s="1">
        <v>1.762071E-3</v>
      </c>
      <c r="M85" s="3">
        <f t="shared" si="2"/>
        <v>0</v>
      </c>
      <c r="N85" s="1">
        <v>1.576044E-3</v>
      </c>
      <c r="O85" s="1">
        <v>1.1144309999999999E-3</v>
      </c>
      <c r="P85" s="1">
        <v>1.576044E-3</v>
      </c>
      <c r="Q85" s="1">
        <v>1.1144309999999999E-3</v>
      </c>
      <c r="R85" s="3">
        <f t="shared" si="3"/>
        <v>0</v>
      </c>
      <c r="S85" s="1">
        <v>7.0921990000000004E-3</v>
      </c>
      <c r="T85" s="1">
        <v>4.094683E-3</v>
      </c>
      <c r="U85" s="1">
        <v>0</v>
      </c>
      <c r="V85" s="1">
        <v>0</v>
      </c>
      <c r="W85" s="1">
        <v>4.7281320000000003E-3</v>
      </c>
      <c r="X85" s="1">
        <v>3.3432940000000001E-3</v>
      </c>
      <c r="Y85" s="1">
        <v>4.7281320000000003E-3</v>
      </c>
      <c r="Z85" s="1">
        <v>3.3432940000000001E-3</v>
      </c>
      <c r="AA85" s="1">
        <v>2.3640660000000002E-3</v>
      </c>
      <c r="AB85" s="1">
        <v>2.3640660000000002E-3</v>
      </c>
      <c r="AC85" s="1">
        <v>4.7281320000000003E-3</v>
      </c>
      <c r="AD85" s="1">
        <v>3.3432940000000001E-3</v>
      </c>
      <c r="AE85" s="1">
        <v>4.7281320000000003E-3</v>
      </c>
      <c r="AF85" s="1">
        <v>3.3432940000000001E-3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4.7281320000000003E-3</v>
      </c>
      <c r="AN85" s="1">
        <v>3.3432940000000001E-3</v>
      </c>
      <c r="AO85" s="1">
        <v>0</v>
      </c>
      <c r="AP85" s="1">
        <v>0</v>
      </c>
    </row>
    <row r="86" spans="1:42" x14ac:dyDescent="0.2">
      <c r="A86">
        <v>2026049</v>
      </c>
      <c r="B86">
        <v>20260218</v>
      </c>
      <c r="C86">
        <v>161</v>
      </c>
      <c r="D86">
        <v>127</v>
      </c>
      <c r="E86">
        <v>201</v>
      </c>
      <c r="F86">
        <v>381</v>
      </c>
      <c r="G86">
        <v>1143</v>
      </c>
      <c r="H86">
        <v>74.990415999999996</v>
      </c>
      <c r="I86" s="1">
        <v>2.6246720000000002E-3</v>
      </c>
      <c r="J86" s="1">
        <v>1.5153549999999999E-3</v>
      </c>
      <c r="K86" s="1">
        <v>1.7497809999999999E-3</v>
      </c>
      <c r="L86" s="1">
        <v>1.2372819999999999E-3</v>
      </c>
      <c r="M86" s="3">
        <f t="shared" si="2"/>
        <v>0.40000017373600383</v>
      </c>
      <c r="N86" s="1">
        <v>4.3744530000000004E-3</v>
      </c>
      <c r="O86" s="1">
        <v>1.9563150000000001E-3</v>
      </c>
      <c r="P86" s="1">
        <v>4.3744530000000004E-3</v>
      </c>
      <c r="Q86" s="1">
        <v>1.9563150000000001E-3</v>
      </c>
      <c r="R86" s="3">
        <f t="shared" si="3"/>
        <v>0</v>
      </c>
      <c r="S86" s="1">
        <v>5.2493440000000004E-3</v>
      </c>
      <c r="T86" s="1">
        <v>3.7118469999999999E-3</v>
      </c>
      <c r="U86" s="1">
        <v>2.6246720000000002E-3</v>
      </c>
      <c r="V86" s="1">
        <v>2.6246720000000002E-3</v>
      </c>
      <c r="W86" s="1">
        <v>0</v>
      </c>
      <c r="X86" s="1">
        <v>0</v>
      </c>
      <c r="Y86" s="1">
        <v>5.2493440000000004E-3</v>
      </c>
      <c r="Z86" s="1">
        <v>3.7118469999999999E-3</v>
      </c>
      <c r="AA86" s="1">
        <v>0</v>
      </c>
      <c r="AB86" s="1">
        <v>0</v>
      </c>
      <c r="AC86" s="1">
        <v>0</v>
      </c>
      <c r="AD86" s="1">
        <v>0</v>
      </c>
      <c r="AE86" s="1">
        <v>2.6246720000000002E-3</v>
      </c>
      <c r="AF86" s="1">
        <v>2.6246720000000002E-3</v>
      </c>
      <c r="AG86" s="1">
        <v>7.8740159999999993E-3</v>
      </c>
      <c r="AH86" s="1">
        <v>4.5460650000000002E-3</v>
      </c>
      <c r="AI86" s="1">
        <v>2.6246720000000002E-3</v>
      </c>
      <c r="AJ86" s="1">
        <v>2.6246720000000002E-3</v>
      </c>
      <c r="AK86" s="1">
        <v>7.8740159999999993E-3</v>
      </c>
      <c r="AL86" s="1">
        <v>4.5460650000000002E-3</v>
      </c>
      <c r="AM86" s="1">
        <v>2.6246720000000002E-3</v>
      </c>
      <c r="AN86" s="1">
        <v>2.6246720000000002E-3</v>
      </c>
      <c r="AO86" s="1">
        <v>2.6246720000000002E-3</v>
      </c>
      <c r="AP86" s="1">
        <v>2.6246720000000002E-3</v>
      </c>
    </row>
    <row r="87" spans="1:42" x14ac:dyDescent="0.2">
      <c r="A87">
        <v>2026050</v>
      </c>
      <c r="B87">
        <v>20260219</v>
      </c>
      <c r="C87">
        <v>162</v>
      </c>
      <c r="D87">
        <v>77</v>
      </c>
      <c r="E87">
        <v>201</v>
      </c>
      <c r="F87">
        <v>231</v>
      </c>
      <c r="G87">
        <v>693</v>
      </c>
      <c r="H87">
        <v>90.096143999999995</v>
      </c>
      <c r="I87" s="1">
        <v>2.8860029999999998E-3</v>
      </c>
      <c r="J87" s="1">
        <v>2.0407120000000001E-3</v>
      </c>
      <c r="K87" s="1">
        <v>5.7720059999999997E-3</v>
      </c>
      <c r="L87" s="1">
        <v>2.8860029999999998E-3</v>
      </c>
      <c r="M87" s="3">
        <f t="shared" si="2"/>
        <v>0.6666666589666671</v>
      </c>
      <c r="N87" s="1">
        <v>4.329004E-3</v>
      </c>
      <c r="O87" s="1">
        <v>2.4993519999999998E-3</v>
      </c>
      <c r="P87" s="1">
        <v>2.8860029999999998E-3</v>
      </c>
      <c r="Q87" s="1">
        <v>2.0407120000000001E-3</v>
      </c>
      <c r="R87" s="3">
        <f t="shared" si="3"/>
        <v>0.39999988357599825</v>
      </c>
      <c r="S87" s="1">
        <v>4.329004E-3</v>
      </c>
      <c r="T87" s="1">
        <v>4.329004E-3</v>
      </c>
      <c r="U87" s="1">
        <v>4.329004E-3</v>
      </c>
      <c r="V87" s="1">
        <v>4.329004E-3</v>
      </c>
      <c r="W87" s="1">
        <v>0</v>
      </c>
      <c r="X87" s="1">
        <v>0</v>
      </c>
      <c r="Y87" s="1">
        <v>8.6580089999999995E-3</v>
      </c>
      <c r="Z87" s="1">
        <v>6.1221369999999997E-3</v>
      </c>
      <c r="AA87" s="1">
        <v>8.6580089999999995E-3</v>
      </c>
      <c r="AB87" s="1">
        <v>6.1221369999999997E-3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1.298701E-2</v>
      </c>
      <c r="AJ87" s="1">
        <v>7.498055E-3</v>
      </c>
      <c r="AK87" s="1">
        <v>0</v>
      </c>
      <c r="AL87" s="1">
        <v>0</v>
      </c>
      <c r="AM87" s="1">
        <v>8.6580089999999995E-3</v>
      </c>
      <c r="AN87" s="1">
        <v>6.1221369999999997E-3</v>
      </c>
      <c r="AO87" s="1">
        <v>0</v>
      </c>
      <c r="AP87" s="1">
        <v>0</v>
      </c>
    </row>
    <row r="88" spans="1:42" x14ac:dyDescent="0.2">
      <c r="A88">
        <v>2026051</v>
      </c>
      <c r="B88">
        <v>20260220</v>
      </c>
      <c r="C88">
        <v>163</v>
      </c>
      <c r="D88">
        <v>119</v>
      </c>
      <c r="E88">
        <v>201</v>
      </c>
      <c r="F88">
        <v>357</v>
      </c>
      <c r="G88">
        <v>1071</v>
      </c>
      <c r="H88">
        <v>104.944388</v>
      </c>
      <c r="I88" s="1">
        <v>4.6685340000000002E-3</v>
      </c>
      <c r="J88" s="1">
        <v>2.087832E-3</v>
      </c>
      <c r="K88" s="1">
        <v>2.8011199999999998E-3</v>
      </c>
      <c r="L88" s="1">
        <v>1.6172280000000001E-3</v>
      </c>
      <c r="M88" s="3">
        <f t="shared" si="2"/>
        <v>0.50000012718125741</v>
      </c>
      <c r="N88" s="1">
        <v>2.8011199999999998E-3</v>
      </c>
      <c r="O88" s="1">
        <v>1.6172280000000001E-3</v>
      </c>
      <c r="P88" s="1">
        <v>1.867414E-3</v>
      </c>
      <c r="Q88" s="1">
        <v>1.320461E-3</v>
      </c>
      <c r="R88" s="3">
        <f t="shared" si="3"/>
        <v>0.39999964871200144</v>
      </c>
      <c r="S88" s="1">
        <v>0</v>
      </c>
      <c r="T88" s="1">
        <v>0</v>
      </c>
      <c r="U88" s="1">
        <v>2.8011199999999998E-3</v>
      </c>
      <c r="V88" s="1">
        <v>2.8011199999999998E-3</v>
      </c>
      <c r="W88" s="1">
        <v>1.1204479999999999E-2</v>
      </c>
      <c r="X88" s="1">
        <v>5.602241E-3</v>
      </c>
      <c r="Y88" s="1">
        <v>2.8011199999999998E-3</v>
      </c>
      <c r="Z88" s="1">
        <v>2.8011199999999998E-3</v>
      </c>
      <c r="AA88" s="1">
        <v>2.8011199999999998E-3</v>
      </c>
      <c r="AB88" s="1">
        <v>2.8011199999999998E-3</v>
      </c>
      <c r="AC88" s="1">
        <v>2.8011199999999998E-3</v>
      </c>
      <c r="AD88" s="1">
        <v>2.8011199999999998E-3</v>
      </c>
      <c r="AE88" s="1">
        <v>2.8011199999999998E-3</v>
      </c>
      <c r="AF88" s="1">
        <v>2.8011199999999998E-3</v>
      </c>
      <c r="AG88" s="1">
        <v>2.8011199999999998E-3</v>
      </c>
      <c r="AH88" s="1">
        <v>2.8011199999999998E-3</v>
      </c>
      <c r="AI88" s="1">
        <v>2.8011199999999998E-3</v>
      </c>
      <c r="AJ88" s="1">
        <v>2.8011199999999998E-3</v>
      </c>
      <c r="AK88" s="1">
        <v>0</v>
      </c>
      <c r="AL88" s="1">
        <v>0</v>
      </c>
      <c r="AM88" s="1">
        <v>0</v>
      </c>
      <c r="AN88" s="1">
        <v>0</v>
      </c>
      <c r="AO88" s="1">
        <v>5.602241E-3</v>
      </c>
      <c r="AP88" s="1">
        <v>3.9613829999999997E-3</v>
      </c>
    </row>
    <row r="89" spans="1:42" x14ac:dyDescent="0.2">
      <c r="A89">
        <v>2026052</v>
      </c>
      <c r="B89">
        <v>20260221</v>
      </c>
      <c r="C89">
        <v>164</v>
      </c>
      <c r="D89">
        <v>10</v>
      </c>
      <c r="E89">
        <v>201</v>
      </c>
      <c r="F89">
        <v>30</v>
      </c>
      <c r="G89">
        <v>90</v>
      </c>
      <c r="H89">
        <v>90.096143999999995</v>
      </c>
      <c r="I89" s="1">
        <v>0</v>
      </c>
      <c r="J89" s="1">
        <v>0</v>
      </c>
      <c r="K89" s="1">
        <v>0</v>
      </c>
      <c r="L89" s="1">
        <v>0</v>
      </c>
      <c r="M89" s="3">
        <f t="shared" si="2"/>
        <v>0</v>
      </c>
      <c r="N89" s="1">
        <v>0</v>
      </c>
      <c r="O89" s="1">
        <v>0</v>
      </c>
      <c r="P89" s="1">
        <v>0</v>
      </c>
      <c r="Q89" s="1">
        <v>0</v>
      </c>
      <c r="R89" s="3">
        <f t="shared" si="3"/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</row>
    <row r="90" spans="1:42" x14ac:dyDescent="0.2">
      <c r="A90">
        <v>2026053</v>
      </c>
      <c r="B90">
        <v>20260222</v>
      </c>
      <c r="C90">
        <v>165</v>
      </c>
      <c r="D90">
        <v>80</v>
      </c>
      <c r="E90">
        <v>201</v>
      </c>
      <c r="F90">
        <v>240</v>
      </c>
      <c r="G90">
        <v>720</v>
      </c>
      <c r="H90">
        <v>74.990415999999996</v>
      </c>
      <c r="I90" s="1">
        <v>6.9444440000000001E-3</v>
      </c>
      <c r="J90" s="1">
        <v>3.1056500000000002E-3</v>
      </c>
      <c r="K90" s="1">
        <v>5.5555559999999997E-3</v>
      </c>
      <c r="L90" s="1">
        <v>2.7777779999999998E-3</v>
      </c>
      <c r="M90" s="3">
        <f t="shared" si="2"/>
        <v>0.22222207822222345</v>
      </c>
      <c r="N90" s="1">
        <v>4.1666669999999998E-3</v>
      </c>
      <c r="O90" s="1">
        <v>2.4056260000000001E-3</v>
      </c>
      <c r="P90" s="1">
        <v>1.3888889999999999E-3</v>
      </c>
      <c r="Q90" s="1">
        <v>1.3888889999999999E-3</v>
      </c>
      <c r="R90" s="3">
        <f t="shared" si="3"/>
        <v>0.99999998200000184</v>
      </c>
      <c r="S90" s="1">
        <v>8.3333330000000001E-3</v>
      </c>
      <c r="T90" s="1">
        <v>5.8925569999999997E-3</v>
      </c>
      <c r="U90" s="1">
        <v>1.2500000000000001E-2</v>
      </c>
      <c r="V90" s="1">
        <v>7.2168780000000004E-3</v>
      </c>
      <c r="W90" s="1">
        <v>0</v>
      </c>
      <c r="X90" s="1">
        <v>0</v>
      </c>
      <c r="Y90" s="1">
        <v>4.1666669999999998E-3</v>
      </c>
      <c r="Z90" s="1">
        <v>4.1666669999999998E-3</v>
      </c>
      <c r="AA90" s="1">
        <v>4.1666669999999998E-3</v>
      </c>
      <c r="AB90" s="1">
        <v>4.1666669999999998E-3</v>
      </c>
      <c r="AC90" s="1">
        <v>8.3333330000000001E-3</v>
      </c>
      <c r="AD90" s="1">
        <v>5.8925569999999997E-3</v>
      </c>
      <c r="AE90" s="1">
        <v>1.2500000000000001E-2</v>
      </c>
      <c r="AF90" s="1">
        <v>7.2168780000000004E-3</v>
      </c>
      <c r="AG90" s="1">
        <v>0</v>
      </c>
      <c r="AH90" s="1">
        <v>0</v>
      </c>
      <c r="AI90" s="1">
        <v>0</v>
      </c>
      <c r="AJ90" s="1">
        <v>0</v>
      </c>
      <c r="AK90" s="1">
        <v>4.1666669999999998E-3</v>
      </c>
      <c r="AL90" s="1">
        <v>4.1666669999999998E-3</v>
      </c>
      <c r="AM90" s="1">
        <v>0</v>
      </c>
      <c r="AN90" s="1">
        <v>0</v>
      </c>
      <c r="AO90" s="1">
        <v>0</v>
      </c>
      <c r="AP90" s="1">
        <v>0</v>
      </c>
    </row>
    <row r="91" spans="1:42" x14ac:dyDescent="0.2">
      <c r="A91">
        <v>2026054</v>
      </c>
      <c r="B91">
        <v>20260223</v>
      </c>
      <c r="C91">
        <v>166</v>
      </c>
      <c r="D91">
        <v>117</v>
      </c>
      <c r="E91">
        <v>201</v>
      </c>
      <c r="F91">
        <v>351</v>
      </c>
      <c r="G91">
        <v>1053</v>
      </c>
      <c r="H91">
        <v>90.096143999999995</v>
      </c>
      <c r="I91" s="1">
        <v>2.8490030000000001E-3</v>
      </c>
      <c r="J91" s="1">
        <v>1.644873E-3</v>
      </c>
      <c r="K91" s="1">
        <v>2.8490030000000001E-3</v>
      </c>
      <c r="L91" s="1">
        <v>1.644873E-3</v>
      </c>
      <c r="M91" s="3">
        <f t="shared" si="2"/>
        <v>0</v>
      </c>
      <c r="N91" s="1">
        <v>3.7986700000000001E-3</v>
      </c>
      <c r="O91" s="1">
        <v>1.899335E-3</v>
      </c>
      <c r="P91" s="1">
        <v>0</v>
      </c>
      <c r="Q91" s="1">
        <v>0</v>
      </c>
      <c r="R91" s="3">
        <f t="shared" si="3"/>
        <v>1.999999947349995</v>
      </c>
      <c r="S91" s="1">
        <v>0</v>
      </c>
      <c r="T91" s="1">
        <v>0</v>
      </c>
      <c r="U91" s="1">
        <v>0</v>
      </c>
      <c r="V91" s="1">
        <v>0</v>
      </c>
      <c r="W91" s="1">
        <v>8.5470089999999995E-3</v>
      </c>
      <c r="X91" s="1">
        <v>4.934618E-3</v>
      </c>
      <c r="Y91" s="1">
        <v>0</v>
      </c>
      <c r="Z91" s="1">
        <v>0</v>
      </c>
      <c r="AA91" s="1">
        <v>5.6980060000000003E-3</v>
      </c>
      <c r="AB91" s="1">
        <v>4.0290980000000001E-3</v>
      </c>
      <c r="AC91" s="1">
        <v>2.8490030000000001E-3</v>
      </c>
      <c r="AD91" s="1">
        <v>2.8490030000000001E-3</v>
      </c>
      <c r="AE91" s="1">
        <v>5.6980060000000003E-3</v>
      </c>
      <c r="AF91" s="1">
        <v>4.0290980000000001E-3</v>
      </c>
      <c r="AG91" s="1">
        <v>2.8490030000000001E-3</v>
      </c>
      <c r="AH91" s="1">
        <v>2.8490030000000001E-3</v>
      </c>
      <c r="AI91" s="1">
        <v>2.8490030000000001E-3</v>
      </c>
      <c r="AJ91" s="1">
        <v>2.8490030000000001E-3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</row>
    <row r="92" spans="1:42" x14ac:dyDescent="0.2">
      <c r="A92">
        <v>2026055</v>
      </c>
      <c r="B92">
        <v>20260224</v>
      </c>
      <c r="C92">
        <v>167</v>
      </c>
      <c r="D92">
        <v>200</v>
      </c>
      <c r="E92">
        <v>201</v>
      </c>
      <c r="F92">
        <v>600</v>
      </c>
      <c r="G92">
        <v>1800</v>
      </c>
      <c r="H92">
        <v>104.944388</v>
      </c>
      <c r="I92" s="1">
        <v>1.1111109999999999E-3</v>
      </c>
      <c r="J92" s="1">
        <v>7.8567419999999995E-4</v>
      </c>
      <c r="K92" s="1">
        <v>1.6666669999999999E-3</v>
      </c>
      <c r="L92" s="1">
        <v>9.6225040000000003E-4</v>
      </c>
      <c r="M92" s="3">
        <f t="shared" si="2"/>
        <v>0.40000027359996831</v>
      </c>
      <c r="N92" s="1">
        <v>1.1111109999999999E-3</v>
      </c>
      <c r="O92" s="1">
        <v>7.8567419999999995E-4</v>
      </c>
      <c r="P92" s="1">
        <v>5.5555559999999999E-4</v>
      </c>
      <c r="Q92" s="1">
        <v>5.5555559999999999E-4</v>
      </c>
      <c r="R92" s="3">
        <f t="shared" si="3"/>
        <v>0.66666646666667051</v>
      </c>
      <c r="S92" s="1">
        <v>1.6666669999999999E-3</v>
      </c>
      <c r="T92" s="1">
        <v>1.6666669999999999E-3</v>
      </c>
      <c r="U92" s="1">
        <v>0</v>
      </c>
      <c r="V92" s="1">
        <v>0</v>
      </c>
      <c r="W92" s="1">
        <v>1.6666669999999999E-3</v>
      </c>
      <c r="X92" s="1">
        <v>1.6666669999999999E-3</v>
      </c>
      <c r="Y92" s="1">
        <v>1.6666669999999999E-3</v>
      </c>
      <c r="Z92" s="1">
        <v>1.6666669999999999E-3</v>
      </c>
      <c r="AA92" s="1">
        <v>1.6666669999999999E-3</v>
      </c>
      <c r="AB92" s="1">
        <v>1.6666669999999999E-3</v>
      </c>
      <c r="AC92" s="1">
        <v>1.6666669999999999E-3</v>
      </c>
      <c r="AD92" s="1">
        <v>1.6666669999999999E-3</v>
      </c>
      <c r="AE92" s="1">
        <v>0</v>
      </c>
      <c r="AF92" s="1">
        <v>0</v>
      </c>
      <c r="AG92" s="1">
        <v>1.6666669999999999E-3</v>
      </c>
      <c r="AH92" s="1">
        <v>1.6666669999999999E-3</v>
      </c>
      <c r="AI92" s="1">
        <v>1.6666669999999999E-3</v>
      </c>
      <c r="AJ92" s="1">
        <v>1.6666669999999999E-3</v>
      </c>
      <c r="AK92" s="1">
        <v>0</v>
      </c>
      <c r="AL92" s="1">
        <v>0</v>
      </c>
      <c r="AM92" s="1">
        <v>0</v>
      </c>
      <c r="AN92" s="1">
        <v>0</v>
      </c>
      <c r="AO92" s="1">
        <v>1.6666669999999999E-3</v>
      </c>
      <c r="AP92" s="1">
        <v>1.6666669999999999E-3</v>
      </c>
    </row>
    <row r="93" spans="1:42" s="4" customFormat="1" x14ac:dyDescent="0.2">
      <c r="A93" s="4">
        <v>2026056</v>
      </c>
      <c r="B93" s="4">
        <v>20260225</v>
      </c>
      <c r="C93" s="4">
        <v>168</v>
      </c>
      <c r="D93" s="4">
        <v>99</v>
      </c>
      <c r="E93" s="4">
        <v>201</v>
      </c>
      <c r="F93" s="4">
        <v>297</v>
      </c>
      <c r="G93" s="4">
        <v>891</v>
      </c>
      <c r="H93" s="4">
        <v>90.096143999999995</v>
      </c>
      <c r="I93" s="5">
        <v>2.2446689999999999E-3</v>
      </c>
      <c r="J93" s="5">
        <v>1.587221E-3</v>
      </c>
      <c r="K93" s="5">
        <v>4.4893379999999998E-3</v>
      </c>
      <c r="L93" s="5">
        <v>2.2446689999999999E-3</v>
      </c>
      <c r="M93" s="5">
        <f t="shared" si="2"/>
        <v>0.66666665676666725</v>
      </c>
      <c r="N93" s="5">
        <v>2.2446689999999999E-3</v>
      </c>
      <c r="O93" s="5">
        <v>1.587221E-3</v>
      </c>
      <c r="P93" s="5">
        <v>1.122334E-3</v>
      </c>
      <c r="Q93" s="5">
        <v>1.122334E-3</v>
      </c>
      <c r="R93" s="5">
        <f t="shared" si="3"/>
        <v>0.66666704286669642</v>
      </c>
      <c r="S93" s="5">
        <v>3.3670029999999999E-3</v>
      </c>
      <c r="T93" s="5">
        <v>3.3670029999999999E-3</v>
      </c>
      <c r="U93" s="5">
        <v>0</v>
      </c>
      <c r="V93" s="5">
        <v>0</v>
      </c>
      <c r="W93" s="5">
        <v>3.3670029999999999E-3</v>
      </c>
      <c r="X93" s="5">
        <v>3.3670029999999999E-3</v>
      </c>
      <c r="Y93" s="5">
        <v>3.3670029999999999E-3</v>
      </c>
      <c r="Z93" s="5">
        <v>3.3670029999999999E-3</v>
      </c>
      <c r="AA93" s="5">
        <v>6.7340070000000002E-3</v>
      </c>
      <c r="AB93" s="5">
        <v>4.7616619999999998E-3</v>
      </c>
      <c r="AC93" s="5">
        <v>3.3670029999999999E-3</v>
      </c>
      <c r="AD93" s="5">
        <v>3.3670029999999999E-3</v>
      </c>
      <c r="AE93" s="5">
        <v>0</v>
      </c>
      <c r="AF93" s="5">
        <v>0</v>
      </c>
      <c r="AG93" s="5">
        <v>0</v>
      </c>
      <c r="AH93" s="5">
        <v>0</v>
      </c>
      <c r="AI93" s="5">
        <v>6.7340070000000002E-3</v>
      </c>
      <c r="AJ93" s="5">
        <v>4.7616619999999998E-3</v>
      </c>
      <c r="AK93" s="5">
        <v>0</v>
      </c>
      <c r="AL93" s="5">
        <v>0</v>
      </c>
      <c r="AM93" s="5">
        <v>0</v>
      </c>
      <c r="AN93" s="5">
        <v>0</v>
      </c>
      <c r="AO93" s="5">
        <v>3.3670029999999999E-3</v>
      </c>
      <c r="AP93" s="5">
        <v>3.3670029999999999E-3</v>
      </c>
    </row>
    <row r="94" spans="1:42" x14ac:dyDescent="0.2">
      <c r="A94">
        <v>2026057</v>
      </c>
      <c r="B94">
        <v>20260226</v>
      </c>
      <c r="C94">
        <v>169</v>
      </c>
      <c r="D94">
        <v>184</v>
      </c>
      <c r="E94">
        <v>201</v>
      </c>
      <c r="F94">
        <v>552</v>
      </c>
      <c r="G94">
        <v>1656</v>
      </c>
      <c r="H94">
        <v>74.990415999999996</v>
      </c>
      <c r="I94" s="1">
        <v>3.0193239999999999E-3</v>
      </c>
      <c r="J94" s="1">
        <v>1.3502830000000001E-3</v>
      </c>
      <c r="K94" s="1">
        <v>3.0193239999999999E-3</v>
      </c>
      <c r="L94" s="1">
        <v>1.3502830000000001E-3</v>
      </c>
      <c r="M94" s="3">
        <f t="shared" si="2"/>
        <v>0</v>
      </c>
      <c r="N94" s="1">
        <v>4.2270529999999997E-3</v>
      </c>
      <c r="O94" s="1">
        <v>1.5976759999999999E-3</v>
      </c>
      <c r="P94" s="1">
        <v>4.2270529999999997E-3</v>
      </c>
      <c r="Q94" s="1">
        <v>1.5976759999999999E-3</v>
      </c>
      <c r="R94" s="3">
        <f t="shared" si="3"/>
        <v>0</v>
      </c>
      <c r="S94" s="1">
        <v>0</v>
      </c>
      <c r="T94" s="1">
        <v>0</v>
      </c>
      <c r="U94" s="1">
        <v>5.4347830000000003E-3</v>
      </c>
      <c r="V94" s="1">
        <v>3.137773E-3</v>
      </c>
      <c r="W94" s="1">
        <v>3.6231879999999998E-3</v>
      </c>
      <c r="X94" s="1">
        <v>2.5619810000000001E-3</v>
      </c>
      <c r="Y94" s="1">
        <v>0</v>
      </c>
      <c r="Z94" s="1">
        <v>0</v>
      </c>
      <c r="AA94" s="1">
        <v>5.4347830000000003E-3</v>
      </c>
      <c r="AB94" s="1">
        <v>3.137773E-3</v>
      </c>
      <c r="AC94" s="1">
        <v>3.6231879999999998E-3</v>
      </c>
      <c r="AD94" s="1">
        <v>2.5619810000000001E-3</v>
      </c>
      <c r="AE94" s="1">
        <v>5.4347830000000003E-3</v>
      </c>
      <c r="AF94" s="1">
        <v>3.137773E-3</v>
      </c>
      <c r="AG94" s="1">
        <v>5.4347830000000003E-3</v>
      </c>
      <c r="AH94" s="1">
        <v>3.137773E-3</v>
      </c>
      <c r="AI94" s="1">
        <v>1.8115939999999999E-3</v>
      </c>
      <c r="AJ94" s="1">
        <v>1.8115939999999999E-3</v>
      </c>
      <c r="AK94" s="1">
        <v>1.8115939999999999E-3</v>
      </c>
      <c r="AL94" s="1">
        <v>1.8115939999999999E-3</v>
      </c>
      <c r="AM94" s="1">
        <v>5.4347830000000003E-3</v>
      </c>
      <c r="AN94" s="1">
        <v>3.137773E-3</v>
      </c>
      <c r="AO94" s="1">
        <v>5.4347830000000003E-3</v>
      </c>
      <c r="AP94" s="1">
        <v>3.137773E-3</v>
      </c>
    </row>
    <row r="95" spans="1:42" x14ac:dyDescent="0.2">
      <c r="A95">
        <v>2026058</v>
      </c>
      <c r="B95">
        <v>20260227</v>
      </c>
      <c r="C95">
        <v>170</v>
      </c>
      <c r="D95">
        <v>139</v>
      </c>
      <c r="E95">
        <v>201</v>
      </c>
      <c r="F95">
        <v>417</v>
      </c>
      <c r="G95">
        <v>1251</v>
      </c>
      <c r="H95">
        <v>90.096143999999995</v>
      </c>
      <c r="I95" s="1">
        <v>3.197442E-3</v>
      </c>
      <c r="J95" s="1">
        <v>1.598721E-3</v>
      </c>
      <c r="K95" s="1">
        <v>3.197442E-3</v>
      </c>
      <c r="L95" s="1">
        <v>1.598721E-3</v>
      </c>
      <c r="M95" s="3">
        <f t="shared" si="2"/>
        <v>0</v>
      </c>
      <c r="N95" s="1">
        <v>3.9968030000000002E-3</v>
      </c>
      <c r="O95" s="1">
        <v>1.7874239999999999E-3</v>
      </c>
      <c r="P95" s="1">
        <v>1.598721E-3</v>
      </c>
      <c r="Q95" s="1">
        <v>1.1304659999999999E-3</v>
      </c>
      <c r="R95" s="3">
        <f t="shared" si="3"/>
        <v>0.8571429439469308</v>
      </c>
      <c r="S95" s="1">
        <v>2.3980820000000002E-3</v>
      </c>
      <c r="T95" s="1">
        <v>2.3980820000000002E-3</v>
      </c>
      <c r="U95" s="1">
        <v>0</v>
      </c>
      <c r="V95" s="1">
        <v>0</v>
      </c>
      <c r="W95" s="1">
        <v>7.1942450000000002E-3</v>
      </c>
      <c r="X95" s="1">
        <v>4.153599E-3</v>
      </c>
      <c r="Y95" s="1">
        <v>4.796163E-3</v>
      </c>
      <c r="Z95" s="1">
        <v>3.3913989999999998E-3</v>
      </c>
      <c r="AA95" s="1">
        <v>0</v>
      </c>
      <c r="AB95" s="1">
        <v>0</v>
      </c>
      <c r="AC95" s="1">
        <v>4.796163E-3</v>
      </c>
      <c r="AD95" s="1">
        <v>3.3913989999999998E-3</v>
      </c>
      <c r="AE95" s="1">
        <v>0</v>
      </c>
      <c r="AF95" s="1">
        <v>0</v>
      </c>
      <c r="AG95" s="1">
        <v>7.1942450000000002E-3</v>
      </c>
      <c r="AH95" s="1">
        <v>4.153599E-3</v>
      </c>
      <c r="AI95" s="1">
        <v>4.796163E-3</v>
      </c>
      <c r="AJ95" s="1">
        <v>3.3913989999999998E-3</v>
      </c>
      <c r="AK95" s="1">
        <v>0</v>
      </c>
      <c r="AL95" s="1">
        <v>0</v>
      </c>
      <c r="AM95" s="1">
        <v>2.3980820000000002E-3</v>
      </c>
      <c r="AN95" s="1">
        <v>2.3980820000000002E-3</v>
      </c>
      <c r="AO95" s="1">
        <v>2.3980820000000002E-3</v>
      </c>
      <c r="AP95" s="1">
        <v>2.3980820000000002E-3</v>
      </c>
    </row>
    <row r="96" spans="1:42" x14ac:dyDescent="0.2">
      <c r="A96">
        <v>2026059</v>
      </c>
      <c r="B96">
        <v>20260228</v>
      </c>
      <c r="C96">
        <v>171</v>
      </c>
      <c r="D96">
        <v>197</v>
      </c>
      <c r="E96">
        <v>201</v>
      </c>
      <c r="F96">
        <v>591</v>
      </c>
      <c r="G96">
        <v>1773</v>
      </c>
      <c r="H96">
        <v>104.944388</v>
      </c>
      <c r="I96" s="1">
        <v>4.512126E-3</v>
      </c>
      <c r="J96" s="1">
        <v>1.5952780000000001E-3</v>
      </c>
      <c r="K96" s="1">
        <v>1.1280319999999999E-3</v>
      </c>
      <c r="L96" s="1">
        <v>7.9763879999999998E-4</v>
      </c>
      <c r="M96" s="3">
        <f t="shared" si="2"/>
        <v>1.1999996950440095</v>
      </c>
      <c r="N96" s="1">
        <v>5.6401580000000002E-4</v>
      </c>
      <c r="O96" s="1">
        <v>5.6401580000000002E-4</v>
      </c>
      <c r="P96" s="1">
        <v>0</v>
      </c>
      <c r="Q96" s="1">
        <v>0</v>
      </c>
      <c r="R96" s="3">
        <f t="shared" si="3"/>
        <v>1.9999996454000675</v>
      </c>
      <c r="S96" s="1">
        <v>5.0761419999999996E-3</v>
      </c>
      <c r="T96" s="1">
        <v>2.9307119999999998E-3</v>
      </c>
      <c r="U96" s="1">
        <v>3.3840950000000002E-3</v>
      </c>
      <c r="V96" s="1">
        <v>2.3929160000000001E-3</v>
      </c>
      <c r="W96" s="1">
        <v>5.0761419999999996E-3</v>
      </c>
      <c r="X96" s="1">
        <v>2.9307119999999998E-3</v>
      </c>
      <c r="Y96" s="1">
        <v>1.6920469999999999E-3</v>
      </c>
      <c r="Z96" s="1">
        <v>1.6920469999999999E-3</v>
      </c>
      <c r="AA96" s="1">
        <v>0</v>
      </c>
      <c r="AB96" s="1">
        <v>0</v>
      </c>
      <c r="AC96" s="1">
        <v>1.6920469999999999E-3</v>
      </c>
      <c r="AD96" s="1">
        <v>1.6920469999999999E-3</v>
      </c>
      <c r="AE96" s="1">
        <v>1.6920469999999999E-3</v>
      </c>
      <c r="AF96" s="1">
        <v>1.6920469999999999E-3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</row>
    <row r="97" spans="1:42" x14ac:dyDescent="0.2">
      <c r="A97">
        <v>2026060</v>
      </c>
      <c r="B97">
        <v>20260301</v>
      </c>
      <c r="C97">
        <v>172</v>
      </c>
      <c r="D97">
        <v>78</v>
      </c>
      <c r="E97">
        <v>201</v>
      </c>
      <c r="F97">
        <v>234</v>
      </c>
      <c r="G97">
        <v>702</v>
      </c>
      <c r="H97">
        <v>90.096143999999995</v>
      </c>
      <c r="I97" s="1">
        <v>1.4245009999999999E-3</v>
      </c>
      <c r="J97" s="1">
        <v>1.4245009999999999E-3</v>
      </c>
      <c r="K97" s="1">
        <v>1.4245009999999999E-3</v>
      </c>
      <c r="L97" s="1">
        <v>1.4245009999999999E-3</v>
      </c>
      <c r="M97" s="3">
        <f t="shared" si="2"/>
        <v>0</v>
      </c>
      <c r="N97" s="1">
        <v>1.4245009999999999E-3</v>
      </c>
      <c r="O97" s="1">
        <v>1.4245009999999999E-3</v>
      </c>
      <c r="P97" s="1">
        <v>0</v>
      </c>
      <c r="Q97" s="1">
        <v>0</v>
      </c>
      <c r="R97" s="3">
        <f t="shared" si="3"/>
        <v>1.999999859599968</v>
      </c>
      <c r="S97" s="1">
        <v>4.273504E-3</v>
      </c>
      <c r="T97" s="1">
        <v>4.273504E-3</v>
      </c>
      <c r="U97" s="1">
        <v>0</v>
      </c>
      <c r="V97" s="1">
        <v>0</v>
      </c>
      <c r="W97" s="1">
        <v>0</v>
      </c>
      <c r="X97" s="1">
        <v>0</v>
      </c>
      <c r="Y97" s="1">
        <v>4.273504E-3</v>
      </c>
      <c r="Z97" s="1">
        <v>4.273504E-3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4.273504E-3</v>
      </c>
      <c r="AJ97" s="1">
        <v>4.273504E-3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</row>
    <row r="98" spans="1:42" x14ac:dyDescent="0.2">
      <c r="A98">
        <v>2026061</v>
      </c>
      <c r="B98">
        <v>20260302</v>
      </c>
      <c r="C98">
        <v>173</v>
      </c>
      <c r="D98">
        <v>7</v>
      </c>
      <c r="E98">
        <v>201</v>
      </c>
      <c r="F98">
        <v>21</v>
      </c>
      <c r="G98">
        <v>63</v>
      </c>
      <c r="H98">
        <v>74.990415999999996</v>
      </c>
      <c r="I98" s="1">
        <v>0</v>
      </c>
      <c r="J98" s="1">
        <v>0</v>
      </c>
      <c r="K98" s="1">
        <v>0</v>
      </c>
      <c r="L98" s="1">
        <v>0</v>
      </c>
      <c r="M98" s="3">
        <f t="shared" si="2"/>
        <v>0</v>
      </c>
      <c r="N98" s="1">
        <v>0</v>
      </c>
      <c r="O98" s="1">
        <v>0</v>
      </c>
      <c r="P98" s="1">
        <v>0</v>
      </c>
      <c r="Q98" s="1">
        <v>0</v>
      </c>
      <c r="R98" s="3">
        <f t="shared" si="3"/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</row>
    <row r="99" spans="1:42" x14ac:dyDescent="0.2">
      <c r="A99">
        <v>2026062</v>
      </c>
      <c r="B99">
        <v>20260303</v>
      </c>
      <c r="C99">
        <v>174</v>
      </c>
      <c r="D99">
        <v>28</v>
      </c>
      <c r="E99">
        <v>201</v>
      </c>
      <c r="F99">
        <v>84</v>
      </c>
      <c r="G99">
        <v>252</v>
      </c>
      <c r="H99">
        <v>90.096143999999995</v>
      </c>
      <c r="I99" s="1">
        <v>0</v>
      </c>
      <c r="J99" s="1">
        <v>0</v>
      </c>
      <c r="K99" s="1">
        <v>0</v>
      </c>
      <c r="L99" s="1">
        <v>0</v>
      </c>
      <c r="M99" s="3">
        <f t="shared" si="2"/>
        <v>0</v>
      </c>
      <c r="N99" s="1">
        <v>1.190476E-2</v>
      </c>
      <c r="O99" s="1">
        <v>6.873217E-3</v>
      </c>
      <c r="P99" s="1">
        <v>0</v>
      </c>
      <c r="Q99" s="1">
        <v>0</v>
      </c>
      <c r="R99" s="3">
        <f t="shared" si="3"/>
        <v>1.9999999831999975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2.3809520000000001E-2</v>
      </c>
      <c r="AF99" s="1">
        <v>1.6835880000000001E-2</v>
      </c>
      <c r="AG99" s="1">
        <v>0</v>
      </c>
      <c r="AH99" s="1">
        <v>0</v>
      </c>
      <c r="AI99" s="1">
        <v>1.190476E-2</v>
      </c>
      <c r="AJ99" s="1">
        <v>1.190476E-2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</row>
    <row r="100" spans="1:42" x14ac:dyDescent="0.2">
      <c r="A100">
        <v>2026063</v>
      </c>
      <c r="B100">
        <v>20260304</v>
      </c>
      <c r="C100">
        <v>175</v>
      </c>
      <c r="D100">
        <v>190</v>
      </c>
      <c r="E100">
        <v>201</v>
      </c>
      <c r="F100">
        <v>570</v>
      </c>
      <c r="G100">
        <v>1710</v>
      </c>
      <c r="H100">
        <v>104.944388</v>
      </c>
      <c r="I100" s="1">
        <v>1.7543859999999999E-3</v>
      </c>
      <c r="J100" s="1">
        <v>1.012895E-3</v>
      </c>
      <c r="K100" s="1">
        <v>2.3391810000000001E-3</v>
      </c>
      <c r="L100" s="1">
        <v>1.169591E-3</v>
      </c>
      <c r="M100" s="3">
        <f t="shared" si="2"/>
        <v>0.28571413914285182</v>
      </c>
      <c r="N100" s="1">
        <v>3.5087719999999998E-3</v>
      </c>
      <c r="O100" s="1">
        <v>1.43245E-3</v>
      </c>
      <c r="P100" s="1">
        <v>2.3391810000000001E-3</v>
      </c>
      <c r="Q100" s="1">
        <v>1.169591E-3</v>
      </c>
      <c r="R100" s="3">
        <f t="shared" si="3"/>
        <v>0.40000012996000256</v>
      </c>
      <c r="S100" s="1">
        <v>1.7543859999999999E-3</v>
      </c>
      <c r="T100" s="1">
        <v>1.7543859999999999E-3</v>
      </c>
      <c r="U100" s="1">
        <v>0</v>
      </c>
      <c r="V100" s="1">
        <v>0</v>
      </c>
      <c r="W100" s="1">
        <v>3.5087719999999998E-3</v>
      </c>
      <c r="X100" s="1">
        <v>2.481076E-3</v>
      </c>
      <c r="Y100" s="1">
        <v>0</v>
      </c>
      <c r="Z100" s="1">
        <v>0</v>
      </c>
      <c r="AA100" s="1">
        <v>5.2631580000000004E-3</v>
      </c>
      <c r="AB100" s="1">
        <v>3.0386860000000001E-3</v>
      </c>
      <c r="AC100" s="1">
        <v>1.7543859999999999E-3</v>
      </c>
      <c r="AD100" s="1">
        <v>1.7543859999999999E-3</v>
      </c>
      <c r="AE100" s="1">
        <v>3.5087719999999998E-3</v>
      </c>
      <c r="AF100" s="1">
        <v>2.481076E-3</v>
      </c>
      <c r="AG100" s="1">
        <v>3.5087719999999998E-3</v>
      </c>
      <c r="AH100" s="1">
        <v>2.481076E-3</v>
      </c>
      <c r="AI100" s="1">
        <v>3.5087719999999998E-3</v>
      </c>
      <c r="AJ100" s="1">
        <v>2.481076E-3</v>
      </c>
      <c r="AK100" s="1">
        <v>1.7543859999999999E-3</v>
      </c>
      <c r="AL100" s="1">
        <v>1.7543859999999999E-3</v>
      </c>
      <c r="AM100" s="1">
        <v>3.5087719999999998E-3</v>
      </c>
      <c r="AN100" s="1">
        <v>2.481076E-3</v>
      </c>
      <c r="AO100" s="1">
        <v>1.7543859999999999E-3</v>
      </c>
      <c r="AP100" s="1">
        <v>1.7543859999999999E-3</v>
      </c>
    </row>
    <row r="101" spans="1:42" s="4" customFormat="1" x14ac:dyDescent="0.2">
      <c r="A101" s="4">
        <v>2026064</v>
      </c>
      <c r="B101" s="4">
        <v>20260305</v>
      </c>
      <c r="C101" s="4">
        <v>176</v>
      </c>
      <c r="D101" s="4">
        <v>4</v>
      </c>
      <c r="E101" s="4">
        <v>201</v>
      </c>
      <c r="F101" s="4">
        <v>12</v>
      </c>
      <c r="G101" s="4">
        <v>36</v>
      </c>
      <c r="H101" s="4">
        <v>90.096143999999995</v>
      </c>
      <c r="I101" s="5">
        <v>0</v>
      </c>
      <c r="J101" s="5">
        <v>0</v>
      </c>
      <c r="K101" s="5">
        <v>0</v>
      </c>
      <c r="L101" s="5">
        <v>0</v>
      </c>
      <c r="M101" s="5">
        <f t="shared" si="2"/>
        <v>0</v>
      </c>
      <c r="N101" s="5">
        <v>0</v>
      </c>
      <c r="O101" s="5">
        <v>0</v>
      </c>
      <c r="P101" s="5">
        <v>0</v>
      </c>
      <c r="Q101" s="5">
        <v>0</v>
      </c>
      <c r="R101" s="5">
        <f t="shared" si="3"/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</row>
    <row r="102" spans="1:42" x14ac:dyDescent="0.2">
      <c r="A102">
        <v>2026065</v>
      </c>
      <c r="B102">
        <v>20260306</v>
      </c>
      <c r="C102">
        <v>177</v>
      </c>
      <c r="D102">
        <v>0</v>
      </c>
      <c r="E102">
        <v>110</v>
      </c>
      <c r="F102">
        <v>0</v>
      </c>
      <c r="G102">
        <v>0</v>
      </c>
      <c r="H102">
        <v>74.990415999999996</v>
      </c>
      <c r="I102" s="1">
        <v>0</v>
      </c>
      <c r="J102" s="1">
        <v>0</v>
      </c>
      <c r="K102" s="1">
        <v>0</v>
      </c>
      <c r="L102" s="1">
        <v>0</v>
      </c>
      <c r="M102" s="3">
        <f t="shared" si="2"/>
        <v>0</v>
      </c>
      <c r="N102" s="1">
        <v>0</v>
      </c>
      <c r="O102" s="1">
        <v>0</v>
      </c>
      <c r="P102" s="1">
        <v>0</v>
      </c>
      <c r="Q102" s="1">
        <v>0</v>
      </c>
      <c r="R102" s="3">
        <f t="shared" si="3"/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</row>
    <row r="103" spans="1:42" x14ac:dyDescent="0.2">
      <c r="A103">
        <v>2026078</v>
      </c>
      <c r="B103">
        <v>20260319</v>
      </c>
      <c r="C103">
        <v>190</v>
      </c>
      <c r="D103">
        <v>38</v>
      </c>
      <c r="E103">
        <v>149</v>
      </c>
      <c r="F103">
        <v>114</v>
      </c>
      <c r="G103">
        <v>342</v>
      </c>
      <c r="H103">
        <v>90.096143999999995</v>
      </c>
      <c r="I103" s="1">
        <v>5.8479530000000004E-3</v>
      </c>
      <c r="J103" s="1">
        <v>4.1351269999999997E-3</v>
      </c>
      <c r="K103" s="1">
        <v>5.8479530000000004E-3</v>
      </c>
      <c r="L103" s="1">
        <v>4.1351269999999997E-3</v>
      </c>
      <c r="M103" s="3">
        <f t="shared" si="2"/>
        <v>0</v>
      </c>
      <c r="N103" s="1">
        <v>2.9239769999999999E-3</v>
      </c>
      <c r="O103" s="1">
        <v>2.9239769999999999E-3</v>
      </c>
      <c r="P103" s="1">
        <v>0</v>
      </c>
      <c r="Q103" s="1">
        <v>0</v>
      </c>
      <c r="R103" s="3">
        <f t="shared" si="3"/>
        <v>1.9999999316000114</v>
      </c>
      <c r="S103" s="1">
        <v>8.7719300000000007E-3</v>
      </c>
      <c r="T103" s="1">
        <v>8.7719300000000007E-3</v>
      </c>
      <c r="U103" s="1">
        <v>8.7719300000000007E-3</v>
      </c>
      <c r="V103" s="1">
        <v>8.7719300000000007E-3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1.7543860000000001E-2</v>
      </c>
      <c r="AD103" s="1">
        <v>1.2405380000000001E-2</v>
      </c>
      <c r="AE103" s="1">
        <v>8.7719300000000007E-3</v>
      </c>
      <c r="AF103" s="1">
        <v>8.7719300000000007E-3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</row>
    <row r="104" spans="1:42" x14ac:dyDescent="0.2">
      <c r="A104">
        <v>2026079</v>
      </c>
      <c r="B104">
        <v>20260320</v>
      </c>
      <c r="C104">
        <v>191</v>
      </c>
      <c r="D104">
        <v>60</v>
      </c>
      <c r="E104">
        <v>201</v>
      </c>
      <c r="F104">
        <v>180</v>
      </c>
      <c r="G104">
        <v>540</v>
      </c>
      <c r="H104">
        <v>104.944388</v>
      </c>
      <c r="I104" s="1">
        <v>7.4074070000000004E-3</v>
      </c>
      <c r="J104" s="1">
        <v>3.7037039999999999E-3</v>
      </c>
      <c r="K104" s="1">
        <v>0</v>
      </c>
      <c r="L104" s="1">
        <v>0</v>
      </c>
      <c r="M104" s="3">
        <f t="shared" si="2"/>
        <v>1.9999999729999991</v>
      </c>
      <c r="N104" s="1">
        <v>1.851852E-3</v>
      </c>
      <c r="O104" s="1">
        <v>1.851852E-3</v>
      </c>
      <c r="P104" s="1">
        <v>0</v>
      </c>
      <c r="Q104" s="1">
        <v>0</v>
      </c>
      <c r="R104" s="3">
        <f t="shared" si="3"/>
        <v>1.9999998920000144</v>
      </c>
      <c r="S104" s="1">
        <v>1.111111E-2</v>
      </c>
      <c r="T104" s="1">
        <v>7.8567419999999999E-3</v>
      </c>
      <c r="U104" s="1">
        <v>5.5555559999999997E-3</v>
      </c>
      <c r="V104" s="1">
        <v>5.5555559999999997E-3</v>
      </c>
      <c r="W104" s="1">
        <v>5.5555559999999997E-3</v>
      </c>
      <c r="X104" s="1">
        <v>5.5555559999999997E-3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5.5555559999999997E-3</v>
      </c>
      <c r="AF104" s="1">
        <v>5.5555559999999997E-3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</row>
    <row r="105" spans="1:42" x14ac:dyDescent="0.2">
      <c r="A105">
        <v>2026080</v>
      </c>
      <c r="B105">
        <v>20260321</v>
      </c>
      <c r="C105">
        <v>192</v>
      </c>
      <c r="D105">
        <v>11</v>
      </c>
      <c r="E105">
        <v>201</v>
      </c>
      <c r="F105">
        <v>33</v>
      </c>
      <c r="G105">
        <v>99</v>
      </c>
      <c r="H105">
        <v>90.096143999999995</v>
      </c>
      <c r="I105" s="1">
        <v>0</v>
      </c>
      <c r="J105" s="1">
        <v>0</v>
      </c>
      <c r="K105" s="1">
        <v>1.0101010000000001E-2</v>
      </c>
      <c r="L105" s="1">
        <v>1.0101010000000001E-2</v>
      </c>
      <c r="M105" s="3">
        <f t="shared" si="2"/>
        <v>1.9999999802000001</v>
      </c>
      <c r="N105" s="1">
        <v>1.0101010000000001E-2</v>
      </c>
      <c r="O105" s="1">
        <v>1.0101010000000001E-2</v>
      </c>
      <c r="P105" s="1">
        <v>0</v>
      </c>
      <c r="Q105" s="1">
        <v>0</v>
      </c>
      <c r="R105" s="3">
        <f t="shared" si="3"/>
        <v>1.9999999802000001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3.0303030000000002E-2</v>
      </c>
      <c r="Z105" s="1">
        <v>3.0303030000000002E-2</v>
      </c>
      <c r="AA105" s="1">
        <v>0</v>
      </c>
      <c r="AB105" s="1">
        <v>0</v>
      </c>
      <c r="AC105" s="1">
        <v>0</v>
      </c>
      <c r="AD105" s="1">
        <v>0</v>
      </c>
      <c r="AE105" s="1">
        <v>3.0303030000000002E-2</v>
      </c>
      <c r="AF105" s="1">
        <v>3.0303030000000002E-2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</row>
    <row r="106" spans="1:42" x14ac:dyDescent="0.2">
      <c r="A106">
        <v>2026081</v>
      </c>
      <c r="B106">
        <v>20260322</v>
      </c>
      <c r="C106">
        <v>193</v>
      </c>
      <c r="D106">
        <v>65</v>
      </c>
      <c r="E106">
        <v>201</v>
      </c>
      <c r="F106">
        <v>195</v>
      </c>
      <c r="G106">
        <v>585</v>
      </c>
      <c r="H106">
        <v>74.990415999999996</v>
      </c>
      <c r="I106" s="1">
        <v>0</v>
      </c>
      <c r="J106" s="1">
        <v>0</v>
      </c>
      <c r="K106" s="1">
        <v>1.7094020000000001E-3</v>
      </c>
      <c r="L106" s="1">
        <v>1.7094020000000001E-3</v>
      </c>
      <c r="M106" s="3">
        <f t="shared" si="2"/>
        <v>1.9999998830000267</v>
      </c>
      <c r="N106" s="1">
        <v>5.1282050000000003E-3</v>
      </c>
      <c r="O106" s="1">
        <v>2.9607710000000001E-3</v>
      </c>
      <c r="P106" s="1">
        <v>3.4188030000000002E-3</v>
      </c>
      <c r="Q106" s="1">
        <v>2.4174589999999998E-3</v>
      </c>
      <c r="R106" s="3">
        <f t="shared" si="3"/>
        <v>0.40000008892000466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5.1282050000000003E-3</v>
      </c>
      <c r="AD106" s="1">
        <v>5.1282050000000003E-3</v>
      </c>
      <c r="AE106" s="1">
        <v>5.1282050000000003E-3</v>
      </c>
      <c r="AF106" s="1">
        <v>5.1282050000000003E-3</v>
      </c>
      <c r="AG106" s="1">
        <v>0</v>
      </c>
      <c r="AH106" s="1">
        <v>0</v>
      </c>
      <c r="AI106" s="1">
        <v>1.0256410000000001E-2</v>
      </c>
      <c r="AJ106" s="1">
        <v>7.252377E-3</v>
      </c>
      <c r="AK106" s="1">
        <v>0</v>
      </c>
      <c r="AL106" s="1">
        <v>0</v>
      </c>
      <c r="AM106" s="1">
        <v>5.1282050000000003E-3</v>
      </c>
      <c r="AN106" s="1">
        <v>5.1282050000000003E-3</v>
      </c>
      <c r="AO106" s="1">
        <v>5.1282050000000003E-3</v>
      </c>
      <c r="AP106" s="1">
        <v>5.1282050000000003E-3</v>
      </c>
    </row>
    <row r="107" spans="1:42" x14ac:dyDescent="0.2">
      <c r="A107">
        <v>2026082</v>
      </c>
      <c r="B107">
        <v>20260323</v>
      </c>
      <c r="C107">
        <v>194</v>
      </c>
      <c r="D107">
        <v>151</v>
      </c>
      <c r="E107">
        <v>201</v>
      </c>
      <c r="F107">
        <v>453</v>
      </c>
      <c r="G107">
        <v>1359</v>
      </c>
      <c r="H107">
        <v>90.096143999999995</v>
      </c>
      <c r="I107" s="1">
        <v>2.2075060000000001E-3</v>
      </c>
      <c r="J107" s="1">
        <v>1.2745040000000001E-3</v>
      </c>
      <c r="K107" s="1">
        <v>2.2075060000000001E-3</v>
      </c>
      <c r="L107" s="1">
        <v>1.2745040000000001E-3</v>
      </c>
      <c r="M107" s="3">
        <f t="shared" si="2"/>
        <v>0</v>
      </c>
      <c r="N107" s="1">
        <v>1.47167E-3</v>
      </c>
      <c r="O107" s="1">
        <v>1.040628E-3</v>
      </c>
      <c r="P107" s="1">
        <v>7.3583519999999996E-4</v>
      </c>
      <c r="Q107" s="1">
        <v>7.3583519999999996E-4</v>
      </c>
      <c r="R107" s="3">
        <f t="shared" si="3"/>
        <v>0.66666639486663981</v>
      </c>
      <c r="S107" s="1">
        <v>2.2075060000000001E-3</v>
      </c>
      <c r="T107" s="1">
        <v>2.2075060000000001E-3</v>
      </c>
      <c r="U107" s="1">
        <v>2.2075060000000001E-3</v>
      </c>
      <c r="V107" s="1">
        <v>2.2075060000000001E-3</v>
      </c>
      <c r="W107" s="1">
        <v>2.2075060000000001E-3</v>
      </c>
      <c r="X107" s="1">
        <v>2.2075060000000001E-3</v>
      </c>
      <c r="Y107" s="1">
        <v>4.4150109999999999E-3</v>
      </c>
      <c r="Z107" s="1">
        <v>3.1218840000000001E-3</v>
      </c>
      <c r="AA107" s="1">
        <v>0</v>
      </c>
      <c r="AB107" s="1">
        <v>0</v>
      </c>
      <c r="AC107" s="1">
        <v>2.2075060000000001E-3</v>
      </c>
      <c r="AD107" s="1">
        <v>2.2075060000000001E-3</v>
      </c>
      <c r="AE107" s="1">
        <v>2.2075060000000001E-3</v>
      </c>
      <c r="AF107" s="1">
        <v>2.2075060000000001E-3</v>
      </c>
      <c r="AG107" s="1">
        <v>0</v>
      </c>
      <c r="AH107" s="1">
        <v>0</v>
      </c>
      <c r="AI107" s="1">
        <v>2.2075060000000001E-3</v>
      </c>
      <c r="AJ107" s="1">
        <v>2.2075060000000001E-3</v>
      </c>
      <c r="AK107" s="1">
        <v>0</v>
      </c>
      <c r="AL107" s="1">
        <v>0</v>
      </c>
      <c r="AM107" s="1">
        <v>0</v>
      </c>
      <c r="AN107" s="1">
        <v>0</v>
      </c>
      <c r="AO107" s="1">
        <v>2.2075060000000001E-3</v>
      </c>
      <c r="AP107" s="1">
        <v>2.2075060000000001E-3</v>
      </c>
    </row>
    <row r="108" spans="1:42" x14ac:dyDescent="0.2">
      <c r="A108">
        <v>2026083</v>
      </c>
      <c r="B108">
        <v>20260324</v>
      </c>
      <c r="C108">
        <v>195</v>
      </c>
      <c r="D108">
        <v>180</v>
      </c>
      <c r="E108">
        <v>201</v>
      </c>
      <c r="F108">
        <v>540</v>
      </c>
      <c r="G108">
        <v>1620</v>
      </c>
      <c r="H108">
        <v>104.944388</v>
      </c>
      <c r="I108" s="1">
        <v>1.2345679999999999E-3</v>
      </c>
      <c r="J108" s="1">
        <v>8.7297130000000005E-4</v>
      </c>
      <c r="K108" s="1">
        <v>6.1728399999999995E-4</v>
      </c>
      <c r="L108" s="1">
        <v>6.1728399999999995E-4</v>
      </c>
      <c r="M108" s="3">
        <f t="shared" si="2"/>
        <v>0.66666663066667153</v>
      </c>
      <c r="N108" s="1">
        <v>1.2345679999999999E-3</v>
      </c>
      <c r="O108" s="1">
        <v>8.7297130000000005E-4</v>
      </c>
      <c r="P108" s="1">
        <v>1.2345679999999999E-3</v>
      </c>
      <c r="Q108" s="1">
        <v>8.7297130000000005E-4</v>
      </c>
      <c r="R108" s="3">
        <f t="shared" si="3"/>
        <v>0</v>
      </c>
      <c r="S108" s="1">
        <v>0</v>
      </c>
      <c r="T108" s="1">
        <v>0</v>
      </c>
      <c r="U108" s="1">
        <v>1.851852E-3</v>
      </c>
      <c r="V108" s="1">
        <v>1.851852E-3</v>
      </c>
      <c r="W108" s="1">
        <v>1.851852E-3</v>
      </c>
      <c r="X108" s="1">
        <v>1.851852E-3</v>
      </c>
      <c r="Y108" s="1">
        <v>1.851852E-3</v>
      </c>
      <c r="Z108" s="1">
        <v>1.851852E-3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3.7037039999999999E-3</v>
      </c>
      <c r="AJ108" s="1">
        <v>2.618914E-3</v>
      </c>
      <c r="AK108" s="1">
        <v>0</v>
      </c>
      <c r="AL108" s="1">
        <v>0</v>
      </c>
      <c r="AM108" s="1">
        <v>0</v>
      </c>
      <c r="AN108" s="1">
        <v>0</v>
      </c>
      <c r="AO108" s="1">
        <v>3.7037039999999999E-3</v>
      </c>
      <c r="AP108" s="1">
        <v>2.618914E-3</v>
      </c>
    </row>
    <row r="109" spans="1:42" x14ac:dyDescent="0.2">
      <c r="A109">
        <v>2026085</v>
      </c>
      <c r="B109">
        <v>20260326</v>
      </c>
      <c r="C109">
        <v>197</v>
      </c>
      <c r="D109">
        <v>40</v>
      </c>
      <c r="E109">
        <v>201</v>
      </c>
      <c r="F109">
        <v>120</v>
      </c>
      <c r="G109">
        <v>360</v>
      </c>
      <c r="H109">
        <v>74.990415999999996</v>
      </c>
      <c r="I109" s="1">
        <v>2.7777779999999998E-3</v>
      </c>
      <c r="J109" s="1">
        <v>2.7777779999999998E-3</v>
      </c>
      <c r="K109" s="1">
        <v>2.7777779999999998E-3</v>
      </c>
      <c r="L109" s="1">
        <v>2.7777779999999998E-3</v>
      </c>
      <c r="M109" s="3">
        <f t="shared" si="2"/>
        <v>0</v>
      </c>
      <c r="N109" s="1">
        <v>5.5555559999999997E-3</v>
      </c>
      <c r="O109" s="1">
        <v>3.9283709999999999E-3</v>
      </c>
      <c r="P109" s="1">
        <v>0</v>
      </c>
      <c r="Q109" s="1">
        <v>0</v>
      </c>
      <c r="R109" s="3">
        <f t="shared" si="3"/>
        <v>1.9999999640000037</v>
      </c>
      <c r="S109" s="1">
        <v>0</v>
      </c>
      <c r="T109" s="1">
        <v>0</v>
      </c>
      <c r="U109" s="1">
        <v>0</v>
      </c>
      <c r="V109" s="1">
        <v>0</v>
      </c>
      <c r="W109" s="1">
        <v>8.3333330000000001E-3</v>
      </c>
      <c r="X109" s="1">
        <v>8.3333330000000001E-3</v>
      </c>
      <c r="Y109" s="1">
        <v>0</v>
      </c>
      <c r="Z109" s="1">
        <v>0</v>
      </c>
      <c r="AA109" s="1">
        <v>0</v>
      </c>
      <c r="AB109" s="1">
        <v>0</v>
      </c>
      <c r="AC109" s="1">
        <v>8.3333330000000001E-3</v>
      </c>
      <c r="AD109" s="1">
        <v>8.3333330000000001E-3</v>
      </c>
      <c r="AE109" s="1">
        <v>0</v>
      </c>
      <c r="AF109" s="1">
        <v>0</v>
      </c>
      <c r="AG109" s="1">
        <v>0</v>
      </c>
      <c r="AH109" s="1">
        <v>0</v>
      </c>
      <c r="AI109" s="1">
        <v>1.6666670000000001E-2</v>
      </c>
      <c r="AJ109" s="1">
        <v>1.178511E-2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</row>
    <row r="110" spans="1:42" x14ac:dyDescent="0.2">
      <c r="A110">
        <v>2026087</v>
      </c>
      <c r="B110">
        <v>20260328</v>
      </c>
      <c r="C110">
        <v>199</v>
      </c>
      <c r="D110">
        <v>199</v>
      </c>
      <c r="E110">
        <v>201</v>
      </c>
      <c r="F110">
        <v>597</v>
      </c>
      <c r="G110">
        <v>1791</v>
      </c>
      <c r="H110">
        <v>104.944388</v>
      </c>
      <c r="I110" s="1">
        <v>3.9084310000000004E-3</v>
      </c>
      <c r="J110" s="1">
        <v>1.477248E-3</v>
      </c>
      <c r="K110" s="1">
        <v>2.2333890000000001E-3</v>
      </c>
      <c r="L110" s="1">
        <v>1.116695E-3</v>
      </c>
      <c r="M110" s="3">
        <f t="shared" si="2"/>
        <v>0.5454545957801662</v>
      </c>
      <c r="N110" s="1">
        <v>1.116695E-3</v>
      </c>
      <c r="O110" s="1">
        <v>7.8962230000000002E-4</v>
      </c>
      <c r="P110" s="1">
        <v>1.116695E-3</v>
      </c>
      <c r="Q110" s="1">
        <v>7.8962230000000002E-4</v>
      </c>
      <c r="R110" s="3">
        <f t="shared" si="3"/>
        <v>0</v>
      </c>
      <c r="S110" s="1">
        <v>5.0251260000000004E-3</v>
      </c>
      <c r="T110" s="1">
        <v>2.9012579999999999E-3</v>
      </c>
      <c r="U110" s="1">
        <v>3.3500840000000001E-3</v>
      </c>
      <c r="V110" s="1">
        <v>2.3688670000000002E-3</v>
      </c>
      <c r="W110" s="1">
        <v>3.3500840000000001E-3</v>
      </c>
      <c r="X110" s="1">
        <v>2.3688670000000002E-3</v>
      </c>
      <c r="Y110" s="1">
        <v>1.6750420000000001E-3</v>
      </c>
      <c r="Z110" s="1">
        <v>1.6750420000000001E-3</v>
      </c>
      <c r="AA110" s="1">
        <v>3.3500840000000001E-3</v>
      </c>
      <c r="AB110" s="1">
        <v>2.3688670000000002E-3</v>
      </c>
      <c r="AC110" s="1">
        <v>1.6750420000000001E-3</v>
      </c>
      <c r="AD110" s="1">
        <v>1.6750420000000001E-3</v>
      </c>
      <c r="AE110" s="1">
        <v>0</v>
      </c>
      <c r="AF110" s="1">
        <v>0</v>
      </c>
      <c r="AG110" s="1">
        <v>1.6750420000000001E-3</v>
      </c>
      <c r="AH110" s="1">
        <v>1.6750420000000001E-3</v>
      </c>
      <c r="AI110" s="1">
        <v>1.6750420000000001E-3</v>
      </c>
      <c r="AJ110" s="1">
        <v>1.6750420000000001E-3</v>
      </c>
      <c r="AK110" s="1">
        <v>1.6750420000000001E-3</v>
      </c>
      <c r="AL110" s="1">
        <v>1.6750420000000001E-3</v>
      </c>
      <c r="AM110" s="1">
        <v>1.6750420000000001E-3</v>
      </c>
      <c r="AN110" s="1">
        <v>1.6750420000000001E-3</v>
      </c>
      <c r="AO110" s="1">
        <v>0</v>
      </c>
      <c r="AP110" s="1">
        <v>0</v>
      </c>
    </row>
    <row r="111" spans="1:42" x14ac:dyDescent="0.2">
      <c r="A111">
        <v>2026088</v>
      </c>
      <c r="B111">
        <v>20260329</v>
      </c>
      <c r="C111">
        <v>200</v>
      </c>
      <c r="D111">
        <v>12</v>
      </c>
      <c r="E111">
        <v>201</v>
      </c>
      <c r="F111">
        <v>36</v>
      </c>
      <c r="G111">
        <v>108</v>
      </c>
      <c r="H111">
        <v>90.096143999999995</v>
      </c>
      <c r="I111" s="1">
        <v>9.2592590000000006E-3</v>
      </c>
      <c r="J111" s="1">
        <v>9.2592590000000006E-3</v>
      </c>
      <c r="K111" s="1">
        <v>0</v>
      </c>
      <c r="L111" s="1">
        <v>0</v>
      </c>
      <c r="M111" s="3">
        <f t="shared" si="2"/>
        <v>1.9999999783999998</v>
      </c>
      <c r="N111" s="1">
        <v>9.2592590000000006E-3</v>
      </c>
      <c r="O111" s="1">
        <v>9.2592590000000006E-3</v>
      </c>
      <c r="P111" s="1">
        <v>0</v>
      </c>
      <c r="Q111" s="1">
        <v>0</v>
      </c>
      <c r="R111" s="3">
        <f t="shared" si="3"/>
        <v>1.9999999783999998</v>
      </c>
      <c r="S111" s="1">
        <v>2.7777779999999998E-2</v>
      </c>
      <c r="T111" s="1">
        <v>2.7777779999999998E-2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2.7777779999999998E-2</v>
      </c>
      <c r="AF111" s="1">
        <v>2.7777779999999998E-2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</row>
    <row r="112" spans="1:42" x14ac:dyDescent="0.2">
      <c r="A112">
        <v>2026089</v>
      </c>
      <c r="B112">
        <v>20260330</v>
      </c>
      <c r="C112">
        <v>201</v>
      </c>
      <c r="D112">
        <v>134</v>
      </c>
      <c r="E112">
        <v>201</v>
      </c>
      <c r="F112">
        <v>402</v>
      </c>
      <c r="G112">
        <v>1206</v>
      </c>
      <c r="H112">
        <v>74.990415999999996</v>
      </c>
      <c r="I112" s="1">
        <v>4.1459369999999997E-3</v>
      </c>
      <c r="J112" s="1">
        <v>1.854119E-3</v>
      </c>
      <c r="K112" s="1">
        <v>1.6583749999999999E-3</v>
      </c>
      <c r="L112" s="1">
        <v>1.1726480000000001E-3</v>
      </c>
      <c r="M112" s="3">
        <f t="shared" si="2"/>
        <v>0.85714274392653689</v>
      </c>
      <c r="N112" s="1">
        <v>3.3167499999999998E-3</v>
      </c>
      <c r="O112" s="1">
        <v>1.6583749999999999E-3</v>
      </c>
      <c r="P112" s="1">
        <v>8.2918740000000003E-4</v>
      </c>
      <c r="Q112" s="1">
        <v>8.2918740000000003E-4</v>
      </c>
      <c r="R112" s="3">
        <f t="shared" si="3"/>
        <v>1.200000048239994</v>
      </c>
      <c r="S112" s="1">
        <v>4.975124E-3</v>
      </c>
      <c r="T112" s="1">
        <v>3.5179439999999998E-3</v>
      </c>
      <c r="U112" s="1">
        <v>4.975124E-3</v>
      </c>
      <c r="V112" s="1">
        <v>3.5179439999999998E-3</v>
      </c>
      <c r="W112" s="1">
        <v>2.487562E-3</v>
      </c>
      <c r="X112" s="1">
        <v>2.487562E-3</v>
      </c>
      <c r="Y112" s="1">
        <v>4.975124E-3</v>
      </c>
      <c r="Z112" s="1">
        <v>3.5179439999999998E-3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7.462687E-3</v>
      </c>
      <c r="AH112" s="1">
        <v>4.3085839999999999E-3</v>
      </c>
      <c r="AI112" s="1">
        <v>2.487562E-3</v>
      </c>
      <c r="AJ112" s="1">
        <v>2.487562E-3</v>
      </c>
      <c r="AK112" s="1">
        <v>2.487562E-3</v>
      </c>
      <c r="AL112" s="1">
        <v>2.487562E-3</v>
      </c>
      <c r="AM112" s="1">
        <v>0</v>
      </c>
      <c r="AN112" s="1">
        <v>0</v>
      </c>
      <c r="AO112" s="1">
        <v>0</v>
      </c>
      <c r="AP112" s="1">
        <v>0</v>
      </c>
    </row>
    <row r="113" spans="1:42" x14ac:dyDescent="0.2">
      <c r="A113">
        <v>2026090</v>
      </c>
      <c r="B113">
        <v>20260331</v>
      </c>
      <c r="C113">
        <v>202</v>
      </c>
      <c r="D113">
        <v>46</v>
      </c>
      <c r="E113">
        <v>201</v>
      </c>
      <c r="F113">
        <v>138</v>
      </c>
      <c r="G113">
        <v>414</v>
      </c>
      <c r="H113">
        <v>90.096143999999995</v>
      </c>
      <c r="I113" s="1">
        <v>0</v>
      </c>
      <c r="J113" s="1">
        <v>0</v>
      </c>
      <c r="K113" s="1">
        <v>2.415459E-3</v>
      </c>
      <c r="L113" s="1">
        <v>2.415459E-3</v>
      </c>
      <c r="M113" s="3">
        <f t="shared" si="2"/>
        <v>1.9999999172000056</v>
      </c>
      <c r="N113" s="1">
        <v>4.830918E-3</v>
      </c>
      <c r="O113" s="1">
        <v>3.4159749999999999E-3</v>
      </c>
      <c r="P113" s="1">
        <v>0</v>
      </c>
      <c r="Q113" s="1">
        <v>0</v>
      </c>
      <c r="R113" s="3">
        <f t="shared" si="3"/>
        <v>1.9999999586000021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7.246377E-3</v>
      </c>
      <c r="Z113" s="1">
        <v>7.246377E-3</v>
      </c>
      <c r="AA113" s="1">
        <v>0</v>
      </c>
      <c r="AB113" s="1">
        <v>0</v>
      </c>
      <c r="AC113" s="1">
        <v>0</v>
      </c>
      <c r="AD113" s="1">
        <v>0</v>
      </c>
      <c r="AE113" s="1">
        <v>7.246377E-3</v>
      </c>
      <c r="AF113" s="1">
        <v>7.246377E-3</v>
      </c>
      <c r="AG113" s="1">
        <v>7.246377E-3</v>
      </c>
      <c r="AH113" s="1">
        <v>7.246377E-3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</row>
    <row r="114" spans="1:42" x14ac:dyDescent="0.2">
      <c r="M114" s="2"/>
      <c r="R114" s="2"/>
    </row>
    <row r="115" spans="1:42" x14ac:dyDescent="0.2">
      <c r="M115" s="2"/>
      <c r="R115" s="2"/>
    </row>
    <row r="116" spans="1:42" x14ac:dyDescent="0.2">
      <c r="M116" s="2"/>
      <c r="R116" s="2"/>
    </row>
    <row r="117" spans="1:42" x14ac:dyDescent="0.2">
      <c r="I117">
        <f>AVERAGEIFS(I2:I113, I2:I113, "&lt;&gt;0", $H2:$H113, "&gt;85", $H2:$H113, "&lt;95")</f>
        <v>3.5079179804347817E-3</v>
      </c>
      <c r="K117">
        <f>AVERAGEIFS(K2:K113, K2:K113, "&lt;&gt;0", $H2:$H113, "&gt;85", $H2:$H113, "&lt;95")</f>
        <v>4.0158917069767434E-3</v>
      </c>
      <c r="M117">
        <f>AVERAGEIFS(M2:M113, M2:M113, "&lt;&gt;0", $H2:$H113, "&gt;85", $H2:$H113, "&lt;95")</f>
        <v>1.118661472917865</v>
      </c>
      <c r="N117">
        <f>AVERAGEIFS(N2:N113, N2:N113, "&lt;&gt;0", $H2:$H113, "&gt;85", $H2:$H113, "&lt;95")</f>
        <v>5.5231448200000009E-3</v>
      </c>
      <c r="P117">
        <f>AVERAGEIFS(P2:P113, P2:P113, "&lt;&gt;0", $H2:$H113, "&gt;85", $H2:$H113, "&lt;95")</f>
        <v>1.9057799033333335E-3</v>
      </c>
      <c r="R117">
        <f>AVERAGEIFS(R2:R113, R2:R113, "&lt;&gt;0", $H2:$H113, "&gt;85", $H2:$H113, "&lt;95")</f>
        <v>1.371995425153107</v>
      </c>
      <c r="S117">
        <f>AVERAGEIFS(S2:S113, S2:S113, "&lt;&gt;0", $H2:$H113, "&gt;85", $H2:$H113, "&lt;95")</f>
        <v>7.6718439166666682E-3</v>
      </c>
      <c r="U117">
        <f>AVERAGEIFS(U2:U113, U2:U113, "&lt;&gt;0", $H2:$H113, "&gt;85", $H2:$H113, "&lt;95")</f>
        <v>5.2143475833333333E-3</v>
      </c>
      <c r="W117">
        <f>AVERAGEIFS(W2:W113, W2:W113, "&lt;&gt;0", $H2:$H113, "&gt;85", $H2:$H113, "&lt;95")</f>
        <v>6.2437168928571414E-3</v>
      </c>
      <c r="Y117">
        <f>AVERAGEIFS(Y2:Y113, Y2:Y113, "&lt;&gt;0", $H2:$H113, "&gt;85", $H2:$H113, "&lt;95")</f>
        <v>5.9426627333333338E-3</v>
      </c>
      <c r="AA117">
        <f>AVERAGEIFS(AA2:AA113, AA2:AA113, "&lt;&gt;0", $H2:$H113, "&gt;85", $H2:$H113, "&lt;95")</f>
        <v>7.5510600434782601E-3</v>
      </c>
      <c r="AC117">
        <f>AVERAGEIFS(AC2:AC113, AC2:AC113, "&lt;&gt;0", $H2:$H113, "&gt;85", $H2:$H113, "&lt;95")</f>
        <v>6.3882987692307682E-3</v>
      </c>
      <c r="AE117">
        <f>AVERAGEIFS(AE2:AE113, AE2:AE113, "&lt;&gt;0", $H2:$H113, "&gt;85", $H2:$H113, "&lt;95")</f>
        <v>9.2332136363636377E-3</v>
      </c>
      <c r="AG117">
        <f>AVERAGEIFS(AG2:AG113, AG2:AG113, "&lt;&gt;0", $H2:$H113, "&gt;85", $H2:$H113, "&lt;95")</f>
        <v>1.5379924181818183E-2</v>
      </c>
      <c r="AI117">
        <f>AVERAGEIFS(AI2:AI113, AI2:AI113, "&lt;&gt;0", $H2:$H113, "&gt;85", $H2:$H113, "&lt;95")</f>
        <v>9.2575063225806484E-3</v>
      </c>
      <c r="AK117">
        <f>AVERAGEIFS(AK2:AK113, AK2:AK113, "&lt;&gt;0", $H2:$H113, "&gt;85", $H2:$H113, "&lt;95")</f>
        <v>3.8703710000000001E-3</v>
      </c>
      <c r="AM117">
        <f>AVERAGEIFS(AM2:AM113, AM2:AM113, "&lt;&gt;0", $H2:$H113, "&gt;85", $H2:$H113, "&lt;95")</f>
        <v>5.3608703076923076E-3</v>
      </c>
      <c r="AO117">
        <f>AVERAGEIFS(AO2:AO113, AO2:AO113, "&lt;&gt;0", $H2:$H113, "&gt;85", $H2:$H113, "&lt;95")</f>
        <v>3.713245E-3</v>
      </c>
    </row>
    <row r="118" spans="1:42" x14ac:dyDescent="0.2">
      <c r="I118" s="3">
        <f>MAX(I2:I113)</f>
        <v>1.3888889999999999E-2</v>
      </c>
      <c r="K118" s="3">
        <f>MAX(K2:K113)</f>
        <v>2.7777779999999998E-2</v>
      </c>
      <c r="M118" s="3">
        <f>MAX(M2:M113)</f>
        <v>1.9999999892000009</v>
      </c>
      <c r="R118" s="3">
        <f>MAX(R2:R113)</f>
        <v>1.9999999964000001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goodrate_cut2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Schwadron</cp:lastModifiedBy>
  <dcterms:created xsi:type="dcterms:W3CDTF">2026-04-04T16:33:52Z</dcterms:created>
  <dcterms:modified xsi:type="dcterms:W3CDTF">2026-04-04T18:59:58Z</dcterms:modified>
</cp:coreProperties>
</file>
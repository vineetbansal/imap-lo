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13_ncr:1_{CAC10E35-1CA3-8348-AAA0-1878EE27A44C}" xr6:coauthVersionLast="47" xr6:coauthVersionMax="47" xr10:uidLastSave="{00000000-0000-0000-0000-000000000000}"/>
  <bookViews>
    <workbookView xWindow="25120" yWindow="500" windowWidth="16960" windowHeight="19680" firstSheet="3" activeTab="6" xr2:uid="{2D7F6570-74D2-6D43-8994-1B54B6AC190D}"/>
  </bookViews>
  <sheets>
    <sheet name="EMv3_spinangle_O-DOY058_DEs_All" sheetId="1" r:id="rId1"/>
    <sheet name="EMv3_spin_new_O-DOY058_DEs_All" sheetId="4" r:id="rId2"/>
    <sheet name="DE_DOY58_histfilter" sheetId="6" r:id="rId3"/>
    <sheet name="O-imap_lo_I1b_histrates_DOY058" sheetId="2" r:id="rId4"/>
    <sheet name="Comparison_old" sheetId="3" r:id="rId5"/>
    <sheet name="Comparison_new" sheetId="5" r:id="rId6"/>
    <sheet name="Comparison_histfi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7" l="1"/>
  <c r="I2" i="7"/>
  <c r="J63" i="7" l="1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H63" i="7"/>
  <c r="G63" i="7"/>
  <c r="F63" i="7"/>
  <c r="E63" i="7"/>
  <c r="D63" i="7"/>
  <c r="C63" i="7"/>
  <c r="B63" i="7"/>
  <c r="H62" i="7"/>
  <c r="G62" i="7"/>
  <c r="F62" i="7"/>
  <c r="E62" i="7"/>
  <c r="D62" i="7"/>
  <c r="C62" i="7"/>
  <c r="B62" i="7"/>
  <c r="H61" i="7"/>
  <c r="G61" i="7"/>
  <c r="F61" i="7"/>
  <c r="E61" i="7"/>
  <c r="D61" i="7"/>
  <c r="C61" i="7"/>
  <c r="B61" i="7"/>
  <c r="H60" i="7"/>
  <c r="G60" i="7"/>
  <c r="F60" i="7"/>
  <c r="E60" i="7"/>
  <c r="D60" i="7"/>
  <c r="C60" i="7"/>
  <c r="B60" i="7"/>
  <c r="H59" i="7"/>
  <c r="G59" i="7"/>
  <c r="F59" i="7"/>
  <c r="E59" i="7"/>
  <c r="D59" i="7"/>
  <c r="C59" i="7"/>
  <c r="B59" i="7"/>
  <c r="H58" i="7"/>
  <c r="G58" i="7"/>
  <c r="F58" i="7"/>
  <c r="E58" i="7"/>
  <c r="D58" i="7"/>
  <c r="C58" i="7"/>
  <c r="B58" i="7"/>
  <c r="H57" i="7"/>
  <c r="G57" i="7"/>
  <c r="F57" i="7"/>
  <c r="E57" i="7"/>
  <c r="D57" i="7"/>
  <c r="C57" i="7"/>
  <c r="B57" i="7"/>
  <c r="H56" i="7"/>
  <c r="G56" i="7"/>
  <c r="F56" i="7"/>
  <c r="E56" i="7"/>
  <c r="D56" i="7"/>
  <c r="C56" i="7"/>
  <c r="B56" i="7"/>
  <c r="H55" i="7"/>
  <c r="G55" i="7"/>
  <c r="F55" i="7"/>
  <c r="E55" i="7"/>
  <c r="D55" i="7"/>
  <c r="C55" i="7"/>
  <c r="B55" i="7"/>
  <c r="H54" i="7"/>
  <c r="G54" i="7"/>
  <c r="F54" i="7"/>
  <c r="E54" i="7"/>
  <c r="D54" i="7"/>
  <c r="C54" i="7"/>
  <c r="B54" i="7"/>
  <c r="H53" i="7"/>
  <c r="G53" i="7"/>
  <c r="F53" i="7"/>
  <c r="E53" i="7"/>
  <c r="D53" i="7"/>
  <c r="C53" i="7"/>
  <c r="B53" i="7"/>
  <c r="H52" i="7"/>
  <c r="G52" i="7"/>
  <c r="F52" i="7"/>
  <c r="E52" i="7"/>
  <c r="D52" i="7"/>
  <c r="C52" i="7"/>
  <c r="B52" i="7"/>
  <c r="H51" i="7"/>
  <c r="G51" i="7"/>
  <c r="F51" i="7"/>
  <c r="E51" i="7"/>
  <c r="D51" i="7"/>
  <c r="C51" i="7"/>
  <c r="B51" i="7"/>
  <c r="H50" i="7"/>
  <c r="G50" i="7"/>
  <c r="F50" i="7"/>
  <c r="E50" i="7"/>
  <c r="D50" i="7"/>
  <c r="C50" i="7"/>
  <c r="B50" i="7"/>
  <c r="H49" i="7"/>
  <c r="G49" i="7"/>
  <c r="F49" i="7"/>
  <c r="E49" i="7"/>
  <c r="D49" i="7"/>
  <c r="C49" i="7"/>
  <c r="B49" i="7"/>
  <c r="H48" i="7"/>
  <c r="G48" i="7"/>
  <c r="F48" i="7"/>
  <c r="E48" i="7"/>
  <c r="D48" i="7"/>
  <c r="C48" i="7"/>
  <c r="B48" i="7"/>
  <c r="H47" i="7"/>
  <c r="G47" i="7"/>
  <c r="F47" i="7"/>
  <c r="E47" i="7"/>
  <c r="D47" i="7"/>
  <c r="C47" i="7"/>
  <c r="B47" i="7"/>
  <c r="H46" i="7"/>
  <c r="G46" i="7"/>
  <c r="F46" i="7"/>
  <c r="E46" i="7"/>
  <c r="D46" i="7"/>
  <c r="C46" i="7"/>
  <c r="B46" i="7"/>
  <c r="H45" i="7"/>
  <c r="G45" i="7"/>
  <c r="F45" i="7"/>
  <c r="E45" i="7"/>
  <c r="D45" i="7"/>
  <c r="C45" i="7"/>
  <c r="B45" i="7"/>
  <c r="H44" i="7"/>
  <c r="G44" i="7"/>
  <c r="F44" i="7"/>
  <c r="E44" i="7"/>
  <c r="D44" i="7"/>
  <c r="C44" i="7"/>
  <c r="B44" i="7"/>
  <c r="H43" i="7"/>
  <c r="G43" i="7"/>
  <c r="F43" i="7"/>
  <c r="E43" i="7"/>
  <c r="D43" i="7"/>
  <c r="C43" i="7"/>
  <c r="B43" i="7"/>
  <c r="H42" i="7"/>
  <c r="G42" i="7"/>
  <c r="F42" i="7"/>
  <c r="E42" i="7"/>
  <c r="D42" i="7"/>
  <c r="C42" i="7"/>
  <c r="B42" i="7"/>
  <c r="H41" i="7"/>
  <c r="G41" i="7"/>
  <c r="F41" i="7"/>
  <c r="E41" i="7"/>
  <c r="D41" i="7"/>
  <c r="C41" i="7"/>
  <c r="B41" i="7"/>
  <c r="H40" i="7"/>
  <c r="G40" i="7"/>
  <c r="F40" i="7"/>
  <c r="E40" i="7"/>
  <c r="D40" i="7"/>
  <c r="C40" i="7"/>
  <c r="B40" i="7"/>
  <c r="H39" i="7"/>
  <c r="G39" i="7"/>
  <c r="F39" i="7"/>
  <c r="E39" i="7"/>
  <c r="D39" i="7"/>
  <c r="C39" i="7"/>
  <c r="B39" i="7"/>
  <c r="H38" i="7"/>
  <c r="G38" i="7"/>
  <c r="F38" i="7"/>
  <c r="E38" i="7"/>
  <c r="D38" i="7"/>
  <c r="C38" i="7"/>
  <c r="B38" i="7"/>
  <c r="H37" i="7"/>
  <c r="G37" i="7"/>
  <c r="F37" i="7"/>
  <c r="E37" i="7"/>
  <c r="D37" i="7"/>
  <c r="C37" i="7"/>
  <c r="B37" i="7"/>
  <c r="H36" i="7"/>
  <c r="G36" i="7"/>
  <c r="F36" i="7"/>
  <c r="E36" i="7"/>
  <c r="D36" i="7"/>
  <c r="C36" i="7"/>
  <c r="B36" i="7"/>
  <c r="H35" i="7"/>
  <c r="G35" i="7"/>
  <c r="F35" i="7"/>
  <c r="E35" i="7"/>
  <c r="D35" i="7"/>
  <c r="C35" i="7"/>
  <c r="B35" i="7"/>
  <c r="H34" i="7"/>
  <c r="G34" i="7"/>
  <c r="F34" i="7"/>
  <c r="E34" i="7"/>
  <c r="D34" i="7"/>
  <c r="C34" i="7"/>
  <c r="B34" i="7"/>
  <c r="H33" i="7"/>
  <c r="G33" i="7"/>
  <c r="F33" i="7"/>
  <c r="E33" i="7"/>
  <c r="D33" i="7"/>
  <c r="C33" i="7"/>
  <c r="B33" i="7"/>
  <c r="H32" i="7"/>
  <c r="G32" i="7"/>
  <c r="F32" i="7"/>
  <c r="E32" i="7"/>
  <c r="D32" i="7"/>
  <c r="C32" i="7"/>
  <c r="B32" i="7"/>
  <c r="H31" i="7"/>
  <c r="G31" i="7"/>
  <c r="F31" i="7"/>
  <c r="E31" i="7"/>
  <c r="D31" i="7"/>
  <c r="C31" i="7"/>
  <c r="B31" i="7"/>
  <c r="H30" i="7"/>
  <c r="G30" i="7"/>
  <c r="F30" i="7"/>
  <c r="E30" i="7"/>
  <c r="D30" i="7"/>
  <c r="C30" i="7"/>
  <c r="B30" i="7"/>
  <c r="H29" i="7"/>
  <c r="G29" i="7"/>
  <c r="F29" i="7"/>
  <c r="E29" i="7"/>
  <c r="D29" i="7"/>
  <c r="C29" i="7"/>
  <c r="B29" i="7"/>
  <c r="H28" i="7"/>
  <c r="G28" i="7"/>
  <c r="F28" i="7"/>
  <c r="E28" i="7"/>
  <c r="D28" i="7"/>
  <c r="C28" i="7"/>
  <c r="B28" i="7"/>
  <c r="H27" i="7"/>
  <c r="G27" i="7"/>
  <c r="F27" i="7"/>
  <c r="E27" i="7"/>
  <c r="D27" i="7"/>
  <c r="C27" i="7"/>
  <c r="B27" i="7"/>
  <c r="H26" i="7"/>
  <c r="G26" i="7"/>
  <c r="F26" i="7"/>
  <c r="E26" i="7"/>
  <c r="D26" i="7"/>
  <c r="C26" i="7"/>
  <c r="B26" i="7"/>
  <c r="H25" i="7"/>
  <c r="G25" i="7"/>
  <c r="F25" i="7"/>
  <c r="E25" i="7"/>
  <c r="D25" i="7"/>
  <c r="C25" i="7"/>
  <c r="B25" i="7"/>
  <c r="H24" i="7"/>
  <c r="G24" i="7"/>
  <c r="F24" i="7"/>
  <c r="E24" i="7"/>
  <c r="D24" i="7"/>
  <c r="C24" i="7"/>
  <c r="B24" i="7"/>
  <c r="H23" i="7"/>
  <c r="G23" i="7"/>
  <c r="F23" i="7"/>
  <c r="E23" i="7"/>
  <c r="D23" i="7"/>
  <c r="C23" i="7"/>
  <c r="B23" i="7"/>
  <c r="H22" i="7"/>
  <c r="G22" i="7"/>
  <c r="F22" i="7"/>
  <c r="E22" i="7"/>
  <c r="D22" i="7"/>
  <c r="C22" i="7"/>
  <c r="B22" i="7"/>
  <c r="H21" i="7"/>
  <c r="G21" i="7"/>
  <c r="F21" i="7"/>
  <c r="E21" i="7"/>
  <c r="D21" i="7"/>
  <c r="C21" i="7"/>
  <c r="B21" i="7"/>
  <c r="H20" i="7"/>
  <c r="G20" i="7"/>
  <c r="F20" i="7"/>
  <c r="E20" i="7"/>
  <c r="D20" i="7"/>
  <c r="C20" i="7"/>
  <c r="B20" i="7"/>
  <c r="H19" i="7"/>
  <c r="G19" i="7"/>
  <c r="F19" i="7"/>
  <c r="E19" i="7"/>
  <c r="D19" i="7"/>
  <c r="C19" i="7"/>
  <c r="B19" i="7"/>
  <c r="H18" i="7"/>
  <c r="G18" i="7"/>
  <c r="F18" i="7"/>
  <c r="E18" i="7"/>
  <c r="D18" i="7"/>
  <c r="C18" i="7"/>
  <c r="B18" i="7"/>
  <c r="H17" i="7"/>
  <c r="G17" i="7"/>
  <c r="F17" i="7"/>
  <c r="E17" i="7"/>
  <c r="D17" i="7"/>
  <c r="C17" i="7"/>
  <c r="B17" i="7"/>
  <c r="H16" i="7"/>
  <c r="G16" i="7"/>
  <c r="F16" i="7"/>
  <c r="E16" i="7"/>
  <c r="D16" i="7"/>
  <c r="C16" i="7"/>
  <c r="B16" i="7"/>
  <c r="H15" i="7"/>
  <c r="G15" i="7"/>
  <c r="F15" i="7"/>
  <c r="E15" i="7"/>
  <c r="D15" i="7"/>
  <c r="C15" i="7"/>
  <c r="B15" i="7"/>
  <c r="H14" i="7"/>
  <c r="G14" i="7"/>
  <c r="F14" i="7"/>
  <c r="E14" i="7"/>
  <c r="D14" i="7"/>
  <c r="C14" i="7"/>
  <c r="B14" i="7"/>
  <c r="H13" i="7"/>
  <c r="G13" i="7"/>
  <c r="F13" i="7"/>
  <c r="E13" i="7"/>
  <c r="D13" i="7"/>
  <c r="C13" i="7"/>
  <c r="B13" i="7"/>
  <c r="H12" i="7"/>
  <c r="G12" i="7"/>
  <c r="F12" i="7"/>
  <c r="E12" i="7"/>
  <c r="D12" i="7"/>
  <c r="C12" i="7"/>
  <c r="B12" i="7"/>
  <c r="H11" i="7"/>
  <c r="G11" i="7"/>
  <c r="F11" i="7"/>
  <c r="E11" i="7"/>
  <c r="D11" i="7"/>
  <c r="C11" i="7"/>
  <c r="B11" i="7"/>
  <c r="H10" i="7"/>
  <c r="G10" i="7"/>
  <c r="F10" i="7"/>
  <c r="E10" i="7"/>
  <c r="D10" i="7"/>
  <c r="C10" i="7"/>
  <c r="B10" i="7"/>
  <c r="H9" i="7"/>
  <c r="G9" i="7"/>
  <c r="F9" i="7"/>
  <c r="E9" i="7"/>
  <c r="E2" i="7" s="1"/>
  <c r="E1" i="7" s="1"/>
  <c r="D9" i="7"/>
  <c r="C9" i="7"/>
  <c r="B9" i="7"/>
  <c r="H8" i="7"/>
  <c r="G8" i="7"/>
  <c r="F8" i="7"/>
  <c r="E8" i="7"/>
  <c r="D8" i="7"/>
  <c r="C8" i="7"/>
  <c r="B8" i="7"/>
  <c r="H7" i="7"/>
  <c r="H2" i="7" s="1"/>
  <c r="H1" i="7" s="1"/>
  <c r="G7" i="7"/>
  <c r="F7" i="7"/>
  <c r="E7" i="7"/>
  <c r="D7" i="7"/>
  <c r="C7" i="7"/>
  <c r="B7" i="7"/>
  <c r="H6" i="7"/>
  <c r="G6" i="7"/>
  <c r="F6" i="7"/>
  <c r="F2" i="7" s="1"/>
  <c r="F1" i="7" s="1"/>
  <c r="E6" i="7"/>
  <c r="D6" i="7"/>
  <c r="D2" i="7" s="1"/>
  <c r="D1" i="7" s="1"/>
  <c r="C6" i="7"/>
  <c r="C2" i="7" s="1"/>
  <c r="C1" i="7" s="1"/>
  <c r="B6" i="7"/>
  <c r="B2" i="7" s="1"/>
  <c r="H5" i="7"/>
  <c r="G5" i="7"/>
  <c r="F5" i="7"/>
  <c r="E5" i="7"/>
  <c r="D5" i="7"/>
  <c r="C5" i="7"/>
  <c r="B5" i="7"/>
  <c r="H4" i="7"/>
  <c r="G4" i="7"/>
  <c r="F4" i="7"/>
  <c r="E4" i="7"/>
  <c r="D4" i="7"/>
  <c r="C4" i="7"/>
  <c r="B4" i="7"/>
  <c r="I2" i="6"/>
  <c r="H2" i="6"/>
  <c r="G2" i="6"/>
  <c r="F2" i="6"/>
  <c r="E2" i="6"/>
  <c r="D2" i="6"/>
  <c r="C2" i="6"/>
  <c r="I2" i="4"/>
  <c r="H2" i="4"/>
  <c r="G2" i="4"/>
  <c r="F2" i="4"/>
  <c r="E2" i="4"/>
  <c r="D2" i="4"/>
  <c r="C2" i="4"/>
  <c r="H63" i="5"/>
  <c r="G63" i="5"/>
  <c r="F63" i="5"/>
  <c r="E63" i="5"/>
  <c r="D63" i="5"/>
  <c r="C63" i="5"/>
  <c r="B63" i="5"/>
  <c r="H62" i="5"/>
  <c r="G62" i="5"/>
  <c r="F62" i="5"/>
  <c r="E62" i="5"/>
  <c r="D62" i="5"/>
  <c r="C62" i="5"/>
  <c r="B62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H58" i="5"/>
  <c r="G58" i="5"/>
  <c r="F58" i="5"/>
  <c r="E58" i="5"/>
  <c r="D58" i="5"/>
  <c r="C58" i="5"/>
  <c r="B58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D2" i="5" s="1"/>
  <c r="D1" i="5" s="1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E2" i="5" s="1"/>
  <c r="E1" i="5" s="1"/>
  <c r="D7" i="5"/>
  <c r="C7" i="5"/>
  <c r="B7" i="5"/>
  <c r="H6" i="5"/>
  <c r="G6" i="5"/>
  <c r="F6" i="5"/>
  <c r="E6" i="5"/>
  <c r="D6" i="5"/>
  <c r="C6" i="5"/>
  <c r="B6" i="5"/>
  <c r="H5" i="5"/>
  <c r="H2" i="5" s="1"/>
  <c r="H1" i="5" s="1"/>
  <c r="G5" i="5"/>
  <c r="G2" i="5" s="1"/>
  <c r="G1" i="5" s="1"/>
  <c r="F5" i="5"/>
  <c r="E5" i="5"/>
  <c r="D5" i="5"/>
  <c r="C5" i="5"/>
  <c r="B5" i="5"/>
  <c r="H4" i="5"/>
  <c r="G4" i="5"/>
  <c r="F4" i="5"/>
  <c r="F2" i="5" s="1"/>
  <c r="F1" i="5" s="1"/>
  <c r="E4" i="5"/>
  <c r="D4" i="5"/>
  <c r="C4" i="5"/>
  <c r="C2" i="5" s="1"/>
  <c r="C1" i="5" s="1"/>
  <c r="B4" i="5"/>
  <c r="B2" i="5" s="1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4" i="2"/>
  <c r="I2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2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2" i="3"/>
  <c r="I2" i="3"/>
  <c r="I1" i="3"/>
  <c r="C1" i="3"/>
  <c r="D1" i="3"/>
  <c r="E1" i="3"/>
  <c r="F1" i="3"/>
  <c r="G1" i="3"/>
  <c r="H1" i="3"/>
  <c r="B1" i="3"/>
  <c r="B2" i="2"/>
  <c r="C2" i="1"/>
  <c r="H2" i="2"/>
  <c r="G2" i="2"/>
  <c r="F2" i="2"/>
  <c r="E2" i="2"/>
  <c r="D2" i="2"/>
  <c r="C2" i="2"/>
  <c r="D2" i="1"/>
  <c r="E2" i="1"/>
  <c r="F2" i="1"/>
  <c r="G2" i="1"/>
  <c r="H2" i="1"/>
  <c r="I2" i="1"/>
  <c r="G2" i="7" l="1"/>
  <c r="G1" i="7" s="1"/>
  <c r="B1" i="7"/>
  <c r="B1" i="5"/>
  <c r="I2" i="5"/>
  <c r="I1" i="5" s="1"/>
</calcChain>
</file>

<file path=xl/sharedStrings.xml><?xml version="1.0" encoding="utf-8"?>
<sst xmlns="http://schemas.openxmlformats.org/spreadsheetml/2006/main" count="72" uniqueCount="15">
  <si>
    <t># binEdge0</t>
  </si>
  <si>
    <t>binEdge1</t>
  </si>
  <si>
    <t>histogram</t>
  </si>
  <si>
    <t>Sum Cts</t>
  </si>
  <si>
    <t>SpinBins</t>
  </si>
  <si>
    <t>ESA1</t>
  </si>
  <si>
    <t>ESA2</t>
  </si>
  <si>
    <t>ESA3</t>
  </si>
  <si>
    <t>ESA4</t>
  </si>
  <si>
    <t>ESA5</t>
  </si>
  <si>
    <t>ESA6</t>
  </si>
  <si>
    <t>ESA7</t>
  </si>
  <si>
    <t>Diff of Sums</t>
  </si>
  <si>
    <t>% DEs missing</t>
  </si>
  <si>
    <t>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</si>
</sst>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1" fontId="19" fillId="0" borderId="0" xfId="0" applyNumberFormat="1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0754-4E9B-C946-97D7-891CEC3E695A}">
  <dimension ref="A2:I63"/>
  <sheetViews>
    <sheetView workbookViewId="0">
      <selection sqref="A1:I2"/>
    </sheetView>
  </sheetViews>
  <sheetFormatPr baseColWidth="10" defaultRowHeight="16" x14ac:dyDescent="0.2"/>
  <sheetData>
    <row r="2" spans="1:9" x14ac:dyDescent="0.2">
      <c r="A2" t="s">
        <v>3</v>
      </c>
      <c r="C2" s="1">
        <f>SUM(C4:C63)</f>
        <v>261</v>
      </c>
      <c r="D2" s="1">
        <f t="shared" ref="D2:I2" si="0">SUM(D4:D63)</f>
        <v>507</v>
      </c>
      <c r="E2" s="1">
        <f t="shared" si="0"/>
        <v>1453</v>
      </c>
      <c r="F2" s="1">
        <f t="shared" si="0"/>
        <v>980</v>
      </c>
      <c r="G2" s="1">
        <f t="shared" si="0"/>
        <v>22</v>
      </c>
      <c r="H2" s="1">
        <f t="shared" si="0"/>
        <v>20</v>
      </c>
      <c r="I2" s="1">
        <f t="shared" si="0"/>
        <v>13</v>
      </c>
    </row>
    <row r="3" spans="1:9" x14ac:dyDescent="0.2">
      <c r="A3" t="s">
        <v>0</v>
      </c>
      <c r="B3" t="s">
        <v>1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</row>
    <row r="4" spans="1:9" x14ac:dyDescent="0.2">
      <c r="A4">
        <v>0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6</v>
      </c>
      <c r="B5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12</v>
      </c>
      <c r="B6">
        <v>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18</v>
      </c>
      <c r="B7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24</v>
      </c>
      <c r="B8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30</v>
      </c>
      <c r="B9">
        <v>36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36</v>
      </c>
      <c r="B10">
        <v>42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42</v>
      </c>
      <c r="B11">
        <v>48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 x14ac:dyDescent="0.2">
      <c r="A12">
        <v>48</v>
      </c>
      <c r="B12">
        <v>54</v>
      </c>
      <c r="C12">
        <v>1</v>
      </c>
      <c r="D12">
        <v>1</v>
      </c>
      <c r="E12">
        <v>2</v>
      </c>
      <c r="F12">
        <v>1</v>
      </c>
      <c r="G12">
        <v>0</v>
      </c>
      <c r="H12">
        <v>0</v>
      </c>
      <c r="I12">
        <v>0</v>
      </c>
    </row>
    <row r="13" spans="1:9" x14ac:dyDescent="0.2">
      <c r="A13">
        <v>54</v>
      </c>
      <c r="B13">
        <v>60</v>
      </c>
      <c r="C13">
        <v>1</v>
      </c>
      <c r="D13">
        <v>1</v>
      </c>
      <c r="E13">
        <v>2</v>
      </c>
      <c r="F13">
        <v>1</v>
      </c>
      <c r="G13">
        <v>0</v>
      </c>
      <c r="H13">
        <v>0</v>
      </c>
      <c r="I13">
        <v>0</v>
      </c>
    </row>
    <row r="14" spans="1:9" x14ac:dyDescent="0.2">
      <c r="A14">
        <v>60</v>
      </c>
      <c r="B14">
        <v>66</v>
      </c>
      <c r="C14">
        <v>0</v>
      </c>
      <c r="D14">
        <v>0</v>
      </c>
      <c r="E14">
        <v>3</v>
      </c>
      <c r="F14">
        <v>1</v>
      </c>
      <c r="G14">
        <v>0</v>
      </c>
      <c r="H14">
        <v>0</v>
      </c>
      <c r="I14">
        <v>0</v>
      </c>
    </row>
    <row r="15" spans="1:9" x14ac:dyDescent="0.2">
      <c r="A15">
        <v>66</v>
      </c>
      <c r="B15">
        <v>72</v>
      </c>
      <c r="C15">
        <v>3</v>
      </c>
      <c r="D15">
        <v>5</v>
      </c>
      <c r="E15">
        <v>14</v>
      </c>
      <c r="F15">
        <v>11</v>
      </c>
      <c r="G15">
        <v>1</v>
      </c>
      <c r="H15">
        <v>1</v>
      </c>
      <c r="I15">
        <v>1</v>
      </c>
    </row>
    <row r="16" spans="1:9" x14ac:dyDescent="0.2">
      <c r="A16">
        <v>72</v>
      </c>
      <c r="B16">
        <v>78</v>
      </c>
      <c r="C16">
        <v>23</v>
      </c>
      <c r="D16">
        <v>40</v>
      </c>
      <c r="E16">
        <v>106</v>
      </c>
      <c r="F16">
        <v>75</v>
      </c>
      <c r="G16">
        <v>1</v>
      </c>
      <c r="H16">
        <v>1</v>
      </c>
      <c r="I16">
        <v>0</v>
      </c>
    </row>
    <row r="17" spans="1:9" x14ac:dyDescent="0.2">
      <c r="A17">
        <v>78</v>
      </c>
      <c r="B17">
        <v>84</v>
      </c>
      <c r="C17">
        <v>45</v>
      </c>
      <c r="D17">
        <v>96</v>
      </c>
      <c r="E17">
        <v>315</v>
      </c>
      <c r="F17">
        <v>204</v>
      </c>
      <c r="G17">
        <v>6</v>
      </c>
      <c r="H17">
        <v>6</v>
      </c>
      <c r="I17">
        <v>3</v>
      </c>
    </row>
    <row r="18" spans="1:9" x14ac:dyDescent="0.2">
      <c r="A18">
        <v>84</v>
      </c>
      <c r="B18">
        <v>90</v>
      </c>
      <c r="C18">
        <v>80</v>
      </c>
      <c r="D18">
        <v>172</v>
      </c>
      <c r="E18">
        <v>473</v>
      </c>
      <c r="F18">
        <v>323</v>
      </c>
      <c r="G18">
        <v>4</v>
      </c>
      <c r="H18">
        <v>3</v>
      </c>
      <c r="I18">
        <v>3</v>
      </c>
    </row>
    <row r="19" spans="1:9" x14ac:dyDescent="0.2">
      <c r="A19">
        <v>90</v>
      </c>
      <c r="B19">
        <v>96</v>
      </c>
      <c r="C19">
        <v>66</v>
      </c>
      <c r="D19">
        <v>126</v>
      </c>
      <c r="E19">
        <v>367</v>
      </c>
      <c r="F19">
        <v>242</v>
      </c>
      <c r="G19">
        <v>7</v>
      </c>
      <c r="H19">
        <v>6</v>
      </c>
      <c r="I19">
        <v>5</v>
      </c>
    </row>
    <row r="20" spans="1:9" x14ac:dyDescent="0.2">
      <c r="A20">
        <v>96</v>
      </c>
      <c r="B20">
        <v>102</v>
      </c>
      <c r="C20">
        <v>21</v>
      </c>
      <c r="D20">
        <v>39</v>
      </c>
      <c r="E20">
        <v>121</v>
      </c>
      <c r="F20">
        <v>80</v>
      </c>
      <c r="G20">
        <v>1</v>
      </c>
      <c r="H20">
        <v>1</v>
      </c>
      <c r="I20">
        <v>0</v>
      </c>
    </row>
    <row r="21" spans="1:9" x14ac:dyDescent="0.2">
      <c r="A21">
        <v>102</v>
      </c>
      <c r="B21">
        <v>108</v>
      </c>
      <c r="C21">
        <v>4</v>
      </c>
      <c r="D21">
        <v>6</v>
      </c>
      <c r="E21">
        <v>15</v>
      </c>
      <c r="F21">
        <v>13</v>
      </c>
      <c r="G21">
        <v>1</v>
      </c>
      <c r="H21">
        <v>1</v>
      </c>
      <c r="I21">
        <v>1</v>
      </c>
    </row>
    <row r="22" spans="1:9" x14ac:dyDescent="0.2">
      <c r="A22">
        <v>108</v>
      </c>
      <c r="B22">
        <v>114</v>
      </c>
      <c r="C22">
        <v>2</v>
      </c>
      <c r="D22">
        <v>3</v>
      </c>
      <c r="E22">
        <v>8</v>
      </c>
      <c r="F22">
        <v>6</v>
      </c>
      <c r="G22">
        <v>0</v>
      </c>
      <c r="H22">
        <v>0</v>
      </c>
      <c r="I22">
        <v>0</v>
      </c>
    </row>
    <row r="23" spans="1:9" x14ac:dyDescent="0.2">
      <c r="A23">
        <v>114</v>
      </c>
      <c r="B23">
        <v>120</v>
      </c>
      <c r="C23">
        <v>3</v>
      </c>
      <c r="D23">
        <v>3</v>
      </c>
      <c r="E23">
        <v>5</v>
      </c>
      <c r="F23">
        <v>5</v>
      </c>
      <c r="G23">
        <v>1</v>
      </c>
      <c r="H23">
        <v>1</v>
      </c>
      <c r="I23">
        <v>0</v>
      </c>
    </row>
    <row r="24" spans="1:9" x14ac:dyDescent="0.2">
      <c r="A24">
        <v>120</v>
      </c>
      <c r="B24">
        <v>126</v>
      </c>
      <c r="C24">
        <v>4</v>
      </c>
      <c r="D24">
        <v>4</v>
      </c>
      <c r="E24">
        <v>4</v>
      </c>
      <c r="F24">
        <v>4</v>
      </c>
      <c r="G24">
        <v>0</v>
      </c>
      <c r="H24">
        <v>0</v>
      </c>
      <c r="I24">
        <v>0</v>
      </c>
    </row>
    <row r="25" spans="1:9" x14ac:dyDescent="0.2">
      <c r="A25">
        <v>126</v>
      </c>
      <c r="B25">
        <v>132</v>
      </c>
      <c r="C25">
        <v>2</v>
      </c>
      <c r="D25">
        <v>2</v>
      </c>
      <c r="E25">
        <v>3</v>
      </c>
      <c r="F25">
        <v>3</v>
      </c>
      <c r="G25">
        <v>0</v>
      </c>
      <c r="H25">
        <v>0</v>
      </c>
      <c r="I25">
        <v>0</v>
      </c>
    </row>
    <row r="26" spans="1:9" x14ac:dyDescent="0.2">
      <c r="A26">
        <v>132</v>
      </c>
      <c r="B26">
        <v>138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</row>
    <row r="27" spans="1:9" x14ac:dyDescent="0.2">
      <c r="A27">
        <v>138</v>
      </c>
      <c r="B27">
        <v>144</v>
      </c>
      <c r="C27">
        <v>3</v>
      </c>
      <c r="D27">
        <v>3</v>
      </c>
      <c r="E27">
        <v>4</v>
      </c>
      <c r="F27">
        <v>4</v>
      </c>
      <c r="G27">
        <v>0</v>
      </c>
      <c r="H27">
        <v>0</v>
      </c>
      <c r="I27">
        <v>0</v>
      </c>
    </row>
    <row r="28" spans="1:9" x14ac:dyDescent="0.2">
      <c r="A28">
        <v>144</v>
      </c>
      <c r="B28">
        <v>150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150</v>
      </c>
      <c r="B29">
        <v>156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156</v>
      </c>
      <c r="B30">
        <v>162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</v>
      </c>
      <c r="B31">
        <v>168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168</v>
      </c>
      <c r="B32">
        <v>174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174</v>
      </c>
      <c r="B33">
        <v>180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180</v>
      </c>
      <c r="B34">
        <v>186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186</v>
      </c>
      <c r="B35">
        <v>192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</row>
    <row r="36" spans="1:9" x14ac:dyDescent="0.2">
      <c r="A36">
        <v>192</v>
      </c>
      <c r="B36">
        <v>198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198</v>
      </c>
      <c r="B37">
        <v>204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204</v>
      </c>
      <c r="B38">
        <v>210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210</v>
      </c>
      <c r="B39">
        <v>216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216</v>
      </c>
      <c r="B40">
        <v>222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222</v>
      </c>
      <c r="B41">
        <v>228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228</v>
      </c>
      <c r="B42">
        <v>234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234</v>
      </c>
      <c r="B43">
        <v>240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240</v>
      </c>
      <c r="B44">
        <v>246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246</v>
      </c>
      <c r="B45">
        <v>252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252</v>
      </c>
      <c r="B46">
        <v>258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</row>
    <row r="47" spans="1:9" x14ac:dyDescent="0.2">
      <c r="A47">
        <v>258</v>
      </c>
      <c r="B47">
        <v>264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264</v>
      </c>
      <c r="B48">
        <v>270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270</v>
      </c>
      <c r="B49">
        <v>276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276</v>
      </c>
      <c r="B50">
        <v>282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282</v>
      </c>
      <c r="B51">
        <v>288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288</v>
      </c>
      <c r="B52">
        <v>294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294</v>
      </c>
      <c r="B53">
        <v>300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300</v>
      </c>
      <c r="B54">
        <v>306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306</v>
      </c>
      <c r="B55">
        <v>312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</row>
    <row r="56" spans="1:9" x14ac:dyDescent="0.2">
      <c r="A56">
        <v>312</v>
      </c>
      <c r="B56">
        <v>318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</row>
    <row r="57" spans="1:9" x14ac:dyDescent="0.2">
      <c r="A57">
        <v>318</v>
      </c>
      <c r="B57">
        <v>324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324</v>
      </c>
      <c r="B58">
        <v>330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330</v>
      </c>
      <c r="B59">
        <v>336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336</v>
      </c>
      <c r="B60">
        <v>342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342</v>
      </c>
      <c r="B61">
        <v>348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348</v>
      </c>
      <c r="B62">
        <v>354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</row>
    <row r="63" spans="1:9" x14ac:dyDescent="0.2">
      <c r="A63">
        <v>354</v>
      </c>
      <c r="B63">
        <v>360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37F9-C4DC-9241-88D0-C84DDAA4CC27}">
  <dimension ref="A2:I63"/>
  <sheetViews>
    <sheetView workbookViewId="0">
      <selection sqref="A1:I3"/>
    </sheetView>
  </sheetViews>
  <sheetFormatPr baseColWidth="10" defaultRowHeight="16" x14ac:dyDescent="0.2"/>
  <sheetData>
    <row r="2" spans="1:9" x14ac:dyDescent="0.2">
      <c r="A2" t="s">
        <v>3</v>
      </c>
      <c r="C2" s="1">
        <f>SUM(C4:C63)</f>
        <v>265</v>
      </c>
      <c r="D2" s="1">
        <f t="shared" ref="D2:I2" si="0">SUM(D4:D63)</f>
        <v>510</v>
      </c>
      <c r="E2" s="1">
        <f t="shared" si="0"/>
        <v>1475</v>
      </c>
      <c r="F2" s="1">
        <f t="shared" si="0"/>
        <v>991</v>
      </c>
      <c r="G2" s="1">
        <f t="shared" si="0"/>
        <v>21</v>
      </c>
      <c r="H2" s="1">
        <f t="shared" si="0"/>
        <v>21</v>
      </c>
      <c r="I2" s="1">
        <f t="shared" si="0"/>
        <v>13</v>
      </c>
    </row>
    <row r="3" spans="1:9" x14ac:dyDescent="0.2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2">
      <c r="A4" s="1">
        <v>0</v>
      </c>
      <c r="B4" s="1">
        <v>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</row>
    <row r="5" spans="1:9" x14ac:dyDescent="0.2">
      <c r="A5" s="1">
        <v>6</v>
      </c>
      <c r="B5" s="1">
        <v>12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12</v>
      </c>
      <c r="B6" s="1">
        <v>18</v>
      </c>
      <c r="C6" s="1">
        <v>0</v>
      </c>
      <c r="D6" s="1">
        <v>0</v>
      </c>
      <c r="E6" s="1">
        <v>0</v>
      </c>
      <c r="F6" s="1">
        <v>1</v>
      </c>
      <c r="G6" s="1">
        <v>1</v>
      </c>
      <c r="H6" s="1">
        <v>1</v>
      </c>
      <c r="I6" s="1">
        <v>0</v>
      </c>
    </row>
    <row r="7" spans="1:9" x14ac:dyDescent="0.2">
      <c r="A7" s="1">
        <v>18</v>
      </c>
      <c r="B7" s="1">
        <v>24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</row>
    <row r="8" spans="1:9" x14ac:dyDescent="0.2">
      <c r="A8" s="1">
        <v>24</v>
      </c>
      <c r="B8" s="1">
        <v>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30</v>
      </c>
      <c r="B9" s="1">
        <v>36</v>
      </c>
      <c r="C9" s="1">
        <v>0</v>
      </c>
      <c r="D9" s="1">
        <v>0</v>
      </c>
      <c r="E9" s="1">
        <v>1</v>
      </c>
      <c r="F9" s="1">
        <v>0</v>
      </c>
      <c r="G9" s="1">
        <v>1</v>
      </c>
      <c r="H9" s="1">
        <v>4</v>
      </c>
      <c r="I9" s="1">
        <v>0</v>
      </c>
    </row>
    <row r="10" spans="1:9" x14ac:dyDescent="0.2">
      <c r="A10" s="1">
        <v>36</v>
      </c>
      <c r="B10" s="1">
        <v>42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</row>
    <row r="11" spans="1:9" x14ac:dyDescent="0.2">
      <c r="A11" s="1">
        <v>42</v>
      </c>
      <c r="B11" s="1">
        <v>48</v>
      </c>
      <c r="C11" s="1">
        <v>1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</row>
    <row r="12" spans="1:9" x14ac:dyDescent="0.2">
      <c r="A12" s="1">
        <v>48</v>
      </c>
      <c r="B12" s="1">
        <v>54</v>
      </c>
      <c r="C12" s="1">
        <v>1</v>
      </c>
      <c r="D12" s="1">
        <v>0</v>
      </c>
      <c r="E12" s="1">
        <v>2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">
      <c r="A13" s="1">
        <v>54</v>
      </c>
      <c r="B13" s="1">
        <v>60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</row>
    <row r="14" spans="1:9" x14ac:dyDescent="0.2">
      <c r="A14" s="1">
        <v>60</v>
      </c>
      <c r="B14" s="1">
        <v>66</v>
      </c>
      <c r="C14" s="1">
        <v>0</v>
      </c>
      <c r="D14" s="1">
        <v>1</v>
      </c>
      <c r="E14" s="1">
        <v>3</v>
      </c>
      <c r="F14" s="1">
        <v>2</v>
      </c>
      <c r="G14" s="1">
        <v>0</v>
      </c>
      <c r="H14" s="1">
        <v>0</v>
      </c>
      <c r="I14" s="1">
        <v>0</v>
      </c>
    </row>
    <row r="15" spans="1:9" x14ac:dyDescent="0.2">
      <c r="A15" s="1">
        <v>66</v>
      </c>
      <c r="B15" s="1">
        <v>72</v>
      </c>
      <c r="C15" s="1">
        <v>3</v>
      </c>
      <c r="D15" s="1">
        <v>3</v>
      </c>
      <c r="E15" s="1">
        <v>10</v>
      </c>
      <c r="F15" s="1">
        <v>8</v>
      </c>
      <c r="G15" s="1">
        <v>0</v>
      </c>
      <c r="H15" s="1">
        <v>0</v>
      </c>
      <c r="I15" s="1">
        <v>0</v>
      </c>
    </row>
    <row r="16" spans="1:9" x14ac:dyDescent="0.2">
      <c r="A16" s="1">
        <v>72</v>
      </c>
      <c r="B16" s="1">
        <v>78</v>
      </c>
      <c r="C16" s="1">
        <v>24</v>
      </c>
      <c r="D16" s="1">
        <v>35</v>
      </c>
      <c r="E16" s="1">
        <v>114</v>
      </c>
      <c r="F16" s="1">
        <v>58</v>
      </c>
      <c r="G16" s="1">
        <v>1</v>
      </c>
      <c r="H16" s="1">
        <v>1</v>
      </c>
      <c r="I16" s="1">
        <v>1</v>
      </c>
    </row>
    <row r="17" spans="1:9" x14ac:dyDescent="0.2">
      <c r="A17" s="1">
        <v>78</v>
      </c>
      <c r="B17" s="1">
        <v>84</v>
      </c>
      <c r="C17" s="1">
        <v>46</v>
      </c>
      <c r="D17" s="1">
        <v>111</v>
      </c>
      <c r="E17" s="1">
        <v>335</v>
      </c>
      <c r="F17" s="1">
        <v>194</v>
      </c>
      <c r="G17" s="1">
        <v>1</v>
      </c>
      <c r="H17" s="1">
        <v>0</v>
      </c>
      <c r="I17" s="1">
        <v>0</v>
      </c>
    </row>
    <row r="18" spans="1:9" x14ac:dyDescent="0.2">
      <c r="A18" s="1">
        <v>84</v>
      </c>
      <c r="B18" s="1">
        <v>90</v>
      </c>
      <c r="C18" s="1">
        <v>81</v>
      </c>
      <c r="D18" s="1">
        <v>184</v>
      </c>
      <c r="E18" s="1">
        <v>491</v>
      </c>
      <c r="F18" s="1">
        <v>361</v>
      </c>
      <c r="G18" s="1">
        <v>6</v>
      </c>
      <c r="H18" s="1">
        <v>2</v>
      </c>
      <c r="I18" s="1">
        <v>1</v>
      </c>
    </row>
    <row r="19" spans="1:9" x14ac:dyDescent="0.2">
      <c r="A19" s="1">
        <v>90</v>
      </c>
      <c r="B19" s="1">
        <v>96</v>
      </c>
      <c r="C19" s="1">
        <v>67</v>
      </c>
      <c r="D19" s="1">
        <v>120</v>
      </c>
      <c r="E19" s="1">
        <v>366</v>
      </c>
      <c r="F19" s="1">
        <v>253</v>
      </c>
      <c r="G19" s="1">
        <v>3</v>
      </c>
      <c r="H19" s="1">
        <v>3</v>
      </c>
      <c r="I19" s="1">
        <v>0</v>
      </c>
    </row>
    <row r="20" spans="1:9" x14ac:dyDescent="0.2">
      <c r="A20" s="1">
        <v>96</v>
      </c>
      <c r="B20" s="1">
        <v>102</v>
      </c>
      <c r="C20" s="1">
        <v>22</v>
      </c>
      <c r="D20" s="1">
        <v>40</v>
      </c>
      <c r="E20" s="1">
        <v>123</v>
      </c>
      <c r="F20" s="1">
        <v>89</v>
      </c>
      <c r="G20" s="1">
        <v>0</v>
      </c>
      <c r="H20" s="1">
        <v>2</v>
      </c>
      <c r="I20" s="1">
        <v>0</v>
      </c>
    </row>
    <row r="21" spans="1:9" x14ac:dyDescent="0.2">
      <c r="A21" s="1">
        <v>102</v>
      </c>
      <c r="B21" s="1">
        <v>108</v>
      </c>
      <c r="C21" s="1">
        <v>4</v>
      </c>
      <c r="D21" s="1">
        <v>5</v>
      </c>
      <c r="E21" s="1">
        <v>18</v>
      </c>
      <c r="F21" s="1">
        <v>12</v>
      </c>
      <c r="G21" s="1">
        <v>0</v>
      </c>
      <c r="H21" s="1">
        <v>0</v>
      </c>
      <c r="I21" s="1">
        <v>0</v>
      </c>
    </row>
    <row r="22" spans="1:9" x14ac:dyDescent="0.2">
      <c r="A22" s="1">
        <v>108</v>
      </c>
      <c r="B22" s="1">
        <v>114</v>
      </c>
      <c r="C22" s="1">
        <v>2</v>
      </c>
      <c r="D22" s="1">
        <v>3</v>
      </c>
      <c r="E22" s="1">
        <v>5</v>
      </c>
      <c r="F22" s="1">
        <v>1</v>
      </c>
      <c r="G22" s="1">
        <v>0</v>
      </c>
      <c r="H22" s="1">
        <v>0</v>
      </c>
      <c r="I22" s="1">
        <v>0</v>
      </c>
    </row>
    <row r="23" spans="1:9" x14ac:dyDescent="0.2">
      <c r="A23" s="1">
        <v>114</v>
      </c>
      <c r="B23" s="1">
        <v>120</v>
      </c>
      <c r="C23" s="1">
        <v>3</v>
      </c>
      <c r="D23" s="1">
        <v>2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</row>
    <row r="24" spans="1:9" x14ac:dyDescent="0.2">
      <c r="A24" s="1">
        <v>120</v>
      </c>
      <c r="B24" s="1">
        <v>126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</row>
    <row r="25" spans="1:9" x14ac:dyDescent="0.2">
      <c r="A25" s="1">
        <v>126</v>
      </c>
      <c r="B25" s="1">
        <v>132</v>
      </c>
      <c r="C25" s="1">
        <v>2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">
      <c r="A26" s="1">
        <v>132</v>
      </c>
      <c r="B26" s="1">
        <v>138</v>
      </c>
      <c r="C26" s="1">
        <v>0</v>
      </c>
      <c r="D26" s="1">
        <v>1</v>
      </c>
      <c r="E26" s="1">
        <v>0</v>
      </c>
      <c r="F26" s="1">
        <v>2</v>
      </c>
      <c r="G26" s="1">
        <v>0</v>
      </c>
      <c r="H26" s="1">
        <v>0</v>
      </c>
      <c r="I26" s="1">
        <v>0</v>
      </c>
    </row>
    <row r="27" spans="1:9" x14ac:dyDescent="0.2">
      <c r="A27" s="1">
        <v>138</v>
      </c>
      <c r="B27" s="1">
        <v>144</v>
      </c>
      <c r="C27" s="1">
        <v>2</v>
      </c>
      <c r="D27" s="1">
        <v>1</v>
      </c>
      <c r="E27" s="1">
        <v>0</v>
      </c>
      <c r="F27" s="1">
        <v>2</v>
      </c>
      <c r="G27" s="1">
        <v>0</v>
      </c>
      <c r="H27" s="1">
        <v>1</v>
      </c>
      <c r="I27" s="1">
        <v>0</v>
      </c>
    </row>
    <row r="28" spans="1:9" x14ac:dyDescent="0.2">
      <c r="A28" s="1">
        <v>144</v>
      </c>
      <c r="B28" s="1">
        <v>150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2">
      <c r="A29" s="1">
        <v>150</v>
      </c>
      <c r="B29" s="1">
        <v>156</v>
      </c>
      <c r="C29" s="1">
        <v>0</v>
      </c>
      <c r="D29" s="1">
        <v>0</v>
      </c>
      <c r="E29" s="1">
        <v>2</v>
      </c>
      <c r="F29" s="1">
        <v>0</v>
      </c>
      <c r="G29" s="1">
        <v>0</v>
      </c>
      <c r="H29" s="1">
        <v>0</v>
      </c>
      <c r="I29" s="1">
        <v>1</v>
      </c>
    </row>
    <row r="30" spans="1:9" x14ac:dyDescent="0.2">
      <c r="A30" s="1">
        <v>156</v>
      </c>
      <c r="B30" s="1">
        <v>162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">
      <c r="A31" s="1">
        <v>162</v>
      </c>
      <c r="B31" s="1">
        <v>168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">
      <c r="A32" s="1">
        <v>168</v>
      </c>
      <c r="B32" s="1">
        <v>174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</row>
    <row r="33" spans="1:9" x14ac:dyDescent="0.2">
      <c r="A33" s="1">
        <v>174</v>
      </c>
      <c r="B33" s="1">
        <v>180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</row>
    <row r="34" spans="1:9" x14ac:dyDescent="0.2">
      <c r="A34" s="1">
        <v>180</v>
      </c>
      <c r="B34" s="1">
        <v>186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">
      <c r="A35" s="1">
        <v>186</v>
      </c>
      <c r="B35" s="1">
        <v>192</v>
      </c>
      <c r="C35" s="1">
        <v>1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</row>
    <row r="36" spans="1:9" x14ac:dyDescent="0.2">
      <c r="A36" s="1">
        <v>192</v>
      </c>
      <c r="B36" s="1">
        <v>198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">
      <c r="A37" s="1">
        <v>198</v>
      </c>
      <c r="B37" s="1">
        <v>204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</row>
    <row r="38" spans="1:9" x14ac:dyDescent="0.2">
      <c r="A38" s="1">
        <v>204</v>
      </c>
      <c r="B38" s="1">
        <v>210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1</v>
      </c>
    </row>
    <row r="39" spans="1:9" x14ac:dyDescent="0.2">
      <c r="A39" s="1">
        <v>210</v>
      </c>
      <c r="B39" s="1">
        <v>216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</row>
    <row r="40" spans="1:9" x14ac:dyDescent="0.2">
      <c r="A40" s="1">
        <v>216</v>
      </c>
      <c r="B40" s="1">
        <v>222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1</v>
      </c>
    </row>
    <row r="41" spans="1:9" x14ac:dyDescent="0.2">
      <c r="A41" s="1">
        <v>222</v>
      </c>
      <c r="B41" s="1">
        <v>228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</row>
    <row r="42" spans="1:9" x14ac:dyDescent="0.2">
      <c r="A42" s="1">
        <v>228</v>
      </c>
      <c r="B42" s="1">
        <v>234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</row>
    <row r="43" spans="1:9" x14ac:dyDescent="0.2">
      <c r="A43" s="1">
        <v>234</v>
      </c>
      <c r="B43" s="1">
        <v>240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2</v>
      </c>
    </row>
    <row r="44" spans="1:9" x14ac:dyDescent="0.2">
      <c r="A44" s="1">
        <v>240</v>
      </c>
      <c r="B44" s="1">
        <v>246</v>
      </c>
      <c r="C44" s="1">
        <v>0</v>
      </c>
      <c r="D44" s="1">
        <v>0</v>
      </c>
      <c r="E44" s="1">
        <v>0</v>
      </c>
      <c r="F44" s="1">
        <v>1</v>
      </c>
      <c r="G44" s="1">
        <v>1</v>
      </c>
      <c r="H44" s="1">
        <v>0</v>
      </c>
      <c r="I44" s="1">
        <v>0</v>
      </c>
    </row>
    <row r="45" spans="1:9" x14ac:dyDescent="0.2">
      <c r="A45" s="1">
        <v>246</v>
      </c>
      <c r="B45" s="1">
        <v>252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">
      <c r="A46" s="1">
        <v>252</v>
      </c>
      <c r="B46" s="1">
        <v>258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2">
      <c r="A47" s="1">
        <v>258</v>
      </c>
      <c r="B47" s="1">
        <v>264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</row>
    <row r="48" spans="1:9" x14ac:dyDescent="0.2">
      <c r="A48" s="1">
        <v>264</v>
      </c>
      <c r="B48" s="1">
        <v>270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">
      <c r="A49" s="1">
        <v>270</v>
      </c>
      <c r="B49" s="1">
        <v>276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</row>
    <row r="50" spans="1:9" x14ac:dyDescent="0.2">
      <c r="A50" s="1">
        <v>276</v>
      </c>
      <c r="B50" s="1">
        <v>282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</row>
    <row r="51" spans="1:9" x14ac:dyDescent="0.2">
      <c r="A51" s="1">
        <v>282</v>
      </c>
      <c r="B51" s="1">
        <v>288</v>
      </c>
      <c r="C51" s="1">
        <v>0</v>
      </c>
      <c r="D51" s="1">
        <v>0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</row>
    <row r="52" spans="1:9" x14ac:dyDescent="0.2">
      <c r="A52" s="1">
        <v>288</v>
      </c>
      <c r="B52" s="1">
        <v>294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2">
      <c r="A53" s="1">
        <v>294</v>
      </c>
      <c r="B53" s="1">
        <v>300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</row>
    <row r="54" spans="1:9" x14ac:dyDescent="0.2">
      <c r="A54" s="1">
        <v>300</v>
      </c>
      <c r="B54" s="1">
        <v>306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2</v>
      </c>
      <c r="I54" s="1">
        <v>0</v>
      </c>
    </row>
    <row r="55" spans="1:9" x14ac:dyDescent="0.2">
      <c r="A55" s="1">
        <v>306</v>
      </c>
      <c r="B55" s="1">
        <v>312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2">
      <c r="A56" s="1">
        <v>312</v>
      </c>
      <c r="B56" s="1">
        <v>318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2">
      <c r="A57" s="1">
        <v>318</v>
      </c>
      <c r="B57" s="1">
        <v>324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</row>
    <row r="58" spans="1:9" x14ac:dyDescent="0.2">
      <c r="A58" s="1">
        <v>324</v>
      </c>
      <c r="B58" s="1">
        <v>330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">
      <c r="A59" s="1">
        <v>330</v>
      </c>
      <c r="B59" s="1">
        <v>336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</row>
    <row r="60" spans="1:9" x14ac:dyDescent="0.2">
      <c r="A60" s="1">
        <v>336</v>
      </c>
      <c r="B60" s="1">
        <v>342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</row>
    <row r="61" spans="1:9" x14ac:dyDescent="0.2">
      <c r="A61" s="1">
        <v>342</v>
      </c>
      <c r="B61" s="1">
        <v>348</v>
      </c>
      <c r="C61" s="1">
        <v>0</v>
      </c>
      <c r="D61" s="1">
        <v>0</v>
      </c>
      <c r="E61" s="1">
        <v>2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2">
      <c r="A62" s="1">
        <v>348</v>
      </c>
      <c r="B62" s="1">
        <v>354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2">
      <c r="A63" s="1">
        <v>354</v>
      </c>
      <c r="B63" s="1">
        <v>360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008C-2DBE-4345-8C24-3AD60D9420CE}">
  <dimension ref="A2:I63"/>
  <sheetViews>
    <sheetView workbookViewId="0">
      <selection activeCell="G15" sqref="G15"/>
    </sheetView>
  </sheetViews>
  <sheetFormatPr baseColWidth="10" defaultRowHeight="16" x14ac:dyDescent="0.2"/>
  <sheetData>
    <row r="2" spans="1:9" x14ac:dyDescent="0.2">
      <c r="A2" t="s">
        <v>3</v>
      </c>
      <c r="C2" s="1">
        <f>SUM(C4:C63)</f>
        <v>304</v>
      </c>
      <c r="D2" s="1">
        <f t="shared" ref="D2:I2" si="0">SUM(D4:D63)</f>
        <v>598</v>
      </c>
      <c r="E2" s="1">
        <f t="shared" si="0"/>
        <v>1681</v>
      </c>
      <c r="F2" s="1">
        <f t="shared" si="0"/>
        <v>1123</v>
      </c>
      <c r="G2" s="1">
        <f t="shared" si="0"/>
        <v>27</v>
      </c>
      <c r="H2" s="1">
        <f t="shared" si="0"/>
        <v>22</v>
      </c>
      <c r="I2" s="1">
        <f t="shared" si="0"/>
        <v>17</v>
      </c>
    </row>
    <row r="3" spans="1:9" x14ac:dyDescent="0.2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2">
      <c r="A4" s="3">
        <v>0</v>
      </c>
      <c r="B4" s="4">
        <v>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</row>
    <row r="5" spans="1:9" x14ac:dyDescent="0.2">
      <c r="A5" s="3">
        <v>6</v>
      </c>
      <c r="B5" s="4">
        <v>12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 x14ac:dyDescent="0.2">
      <c r="A6" s="3">
        <v>12</v>
      </c>
      <c r="B6" s="4">
        <v>18</v>
      </c>
      <c r="C6" s="4">
        <v>0</v>
      </c>
      <c r="D6" s="4">
        <v>0</v>
      </c>
      <c r="E6" s="4">
        <v>0</v>
      </c>
      <c r="F6" s="4">
        <v>1</v>
      </c>
      <c r="G6" s="4">
        <v>1</v>
      </c>
      <c r="H6" s="4">
        <v>1</v>
      </c>
      <c r="I6" s="4">
        <v>0</v>
      </c>
    </row>
    <row r="7" spans="1:9" x14ac:dyDescent="0.2">
      <c r="A7" s="3">
        <v>18</v>
      </c>
      <c r="B7" s="4">
        <v>24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</row>
    <row r="8" spans="1:9" x14ac:dyDescent="0.2">
      <c r="A8" s="3">
        <v>24</v>
      </c>
      <c r="B8" s="4">
        <v>30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  <row r="9" spans="1:9" x14ac:dyDescent="0.2">
      <c r="A9" s="3">
        <v>30</v>
      </c>
      <c r="B9" s="4">
        <v>36</v>
      </c>
      <c r="C9" s="4">
        <v>0</v>
      </c>
      <c r="D9" s="4">
        <v>0</v>
      </c>
      <c r="E9" s="4">
        <v>1</v>
      </c>
      <c r="F9" s="4">
        <v>0</v>
      </c>
      <c r="G9" s="4">
        <v>1</v>
      </c>
      <c r="H9" s="4">
        <v>4</v>
      </c>
      <c r="I9" s="4">
        <v>0</v>
      </c>
    </row>
    <row r="10" spans="1:9" x14ac:dyDescent="0.2">
      <c r="A10" s="3">
        <v>36</v>
      </c>
      <c r="B10" s="4">
        <v>42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</v>
      </c>
    </row>
    <row r="11" spans="1:9" x14ac:dyDescent="0.2">
      <c r="A11" s="3">
        <v>42</v>
      </c>
      <c r="B11" s="4">
        <v>48</v>
      </c>
      <c r="C11" s="4">
        <v>1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</row>
    <row r="12" spans="1:9" x14ac:dyDescent="0.2">
      <c r="A12" s="3">
        <v>48</v>
      </c>
      <c r="B12" s="4">
        <v>54</v>
      </c>
      <c r="C12" s="4">
        <v>1</v>
      </c>
      <c r="D12" s="4">
        <v>0</v>
      </c>
      <c r="E12" s="4">
        <v>2</v>
      </c>
      <c r="F12" s="4">
        <v>0</v>
      </c>
      <c r="G12" s="4">
        <v>1</v>
      </c>
      <c r="H12" s="4">
        <v>0</v>
      </c>
      <c r="I12" s="4">
        <v>0</v>
      </c>
    </row>
    <row r="13" spans="1:9" x14ac:dyDescent="0.2">
      <c r="A13" s="3">
        <v>54</v>
      </c>
      <c r="B13" s="4">
        <v>60</v>
      </c>
      <c r="C13" s="4">
        <v>1</v>
      </c>
      <c r="D13" s="4">
        <v>0</v>
      </c>
      <c r="E13" s="4">
        <v>1</v>
      </c>
      <c r="F13" s="4">
        <v>1</v>
      </c>
      <c r="G13" s="4">
        <v>0</v>
      </c>
      <c r="H13" s="4">
        <v>0</v>
      </c>
      <c r="I13" s="4">
        <v>0</v>
      </c>
    </row>
    <row r="14" spans="1:9" x14ac:dyDescent="0.2">
      <c r="A14" s="3">
        <v>60</v>
      </c>
      <c r="B14" s="4">
        <v>66</v>
      </c>
      <c r="C14" s="4">
        <v>0</v>
      </c>
      <c r="D14" s="4">
        <v>1</v>
      </c>
      <c r="E14" s="4">
        <v>4</v>
      </c>
      <c r="F14" s="4">
        <v>2</v>
      </c>
      <c r="G14" s="4">
        <v>0</v>
      </c>
      <c r="H14" s="4">
        <v>0</v>
      </c>
      <c r="I14" s="4">
        <v>0</v>
      </c>
    </row>
    <row r="15" spans="1:9" x14ac:dyDescent="0.2">
      <c r="A15" s="3">
        <v>66</v>
      </c>
      <c r="B15" s="4">
        <v>72</v>
      </c>
      <c r="C15" s="4">
        <v>4</v>
      </c>
      <c r="D15" s="4">
        <v>5</v>
      </c>
      <c r="E15" s="4">
        <v>11</v>
      </c>
      <c r="F15" s="4">
        <v>8</v>
      </c>
      <c r="G15" s="4">
        <v>0</v>
      </c>
      <c r="H15" s="4">
        <v>0</v>
      </c>
      <c r="I15" s="4">
        <v>0</v>
      </c>
    </row>
    <row r="16" spans="1:9" x14ac:dyDescent="0.2">
      <c r="A16" s="3">
        <v>72</v>
      </c>
      <c r="B16" s="4">
        <v>78</v>
      </c>
      <c r="C16" s="4">
        <v>26</v>
      </c>
      <c r="D16" s="4">
        <v>39</v>
      </c>
      <c r="E16" s="4">
        <v>128</v>
      </c>
      <c r="F16" s="4">
        <v>68</v>
      </c>
      <c r="G16" s="4">
        <v>1</v>
      </c>
      <c r="H16" s="4">
        <v>1</v>
      </c>
      <c r="I16" s="4">
        <v>1</v>
      </c>
    </row>
    <row r="17" spans="1:9" x14ac:dyDescent="0.2">
      <c r="A17" s="3">
        <v>78</v>
      </c>
      <c r="B17" s="4">
        <v>84</v>
      </c>
      <c r="C17" s="4">
        <v>56</v>
      </c>
      <c r="D17" s="4">
        <v>130</v>
      </c>
      <c r="E17" s="4">
        <v>377</v>
      </c>
      <c r="F17" s="4">
        <v>219</v>
      </c>
      <c r="G17" s="4">
        <v>2</v>
      </c>
      <c r="H17" s="4">
        <v>0</v>
      </c>
      <c r="I17" s="4">
        <v>0</v>
      </c>
    </row>
    <row r="18" spans="1:9" x14ac:dyDescent="0.2">
      <c r="A18" s="3">
        <v>84</v>
      </c>
      <c r="B18" s="4">
        <v>90</v>
      </c>
      <c r="C18" s="4">
        <v>90</v>
      </c>
      <c r="D18" s="4">
        <v>212</v>
      </c>
      <c r="E18" s="4">
        <v>576</v>
      </c>
      <c r="F18" s="4">
        <v>408</v>
      </c>
      <c r="G18" s="4">
        <v>7</v>
      </c>
      <c r="H18" s="4">
        <v>2</v>
      </c>
      <c r="I18" s="4">
        <v>1</v>
      </c>
    </row>
    <row r="19" spans="1:9" x14ac:dyDescent="0.2">
      <c r="A19" s="3">
        <v>90</v>
      </c>
      <c r="B19" s="4">
        <v>96</v>
      </c>
      <c r="C19" s="4">
        <v>79</v>
      </c>
      <c r="D19" s="4">
        <v>145</v>
      </c>
      <c r="E19" s="4">
        <v>410</v>
      </c>
      <c r="F19" s="4">
        <v>287</v>
      </c>
      <c r="G19" s="4">
        <v>5</v>
      </c>
      <c r="H19" s="4">
        <v>3</v>
      </c>
      <c r="I19" s="4">
        <v>1</v>
      </c>
    </row>
    <row r="20" spans="1:9" x14ac:dyDescent="0.2">
      <c r="A20" s="3">
        <v>96</v>
      </c>
      <c r="B20" s="4">
        <v>102</v>
      </c>
      <c r="C20" s="4">
        <v>25</v>
      </c>
      <c r="D20" s="4">
        <v>45</v>
      </c>
      <c r="E20" s="4">
        <v>139</v>
      </c>
      <c r="F20" s="4">
        <v>104</v>
      </c>
      <c r="G20" s="4">
        <v>0</v>
      </c>
      <c r="H20" s="4">
        <v>2</v>
      </c>
      <c r="I20" s="4">
        <v>0</v>
      </c>
    </row>
    <row r="21" spans="1:9" x14ac:dyDescent="0.2">
      <c r="A21" s="3">
        <v>102</v>
      </c>
      <c r="B21" s="4">
        <v>108</v>
      </c>
      <c r="C21" s="4">
        <v>4</v>
      </c>
      <c r="D21" s="4">
        <v>6</v>
      </c>
      <c r="E21" s="4">
        <v>18</v>
      </c>
      <c r="F21" s="4">
        <v>12</v>
      </c>
      <c r="G21" s="4">
        <v>0</v>
      </c>
      <c r="H21" s="4">
        <v>0</v>
      </c>
      <c r="I21" s="4">
        <v>0</v>
      </c>
    </row>
    <row r="22" spans="1:9" x14ac:dyDescent="0.2">
      <c r="A22" s="3">
        <v>108</v>
      </c>
      <c r="B22" s="4">
        <v>114</v>
      </c>
      <c r="C22" s="4">
        <v>2</v>
      </c>
      <c r="D22" s="4">
        <v>6</v>
      </c>
      <c r="E22" s="4">
        <v>5</v>
      </c>
      <c r="F22" s="4">
        <v>2</v>
      </c>
      <c r="G22" s="4">
        <v>0</v>
      </c>
      <c r="H22" s="4">
        <v>0</v>
      </c>
      <c r="I22" s="4">
        <v>0</v>
      </c>
    </row>
    <row r="23" spans="1:9" x14ac:dyDescent="0.2">
      <c r="A23" s="3">
        <v>114</v>
      </c>
      <c r="B23" s="4">
        <v>120</v>
      </c>
      <c r="C23" s="4">
        <v>3</v>
      </c>
      <c r="D23" s="4">
        <v>2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</row>
    <row r="24" spans="1:9" x14ac:dyDescent="0.2">
      <c r="A24" s="3">
        <v>120</v>
      </c>
      <c r="B24" s="4">
        <v>126</v>
      </c>
      <c r="C24" s="4">
        <v>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</v>
      </c>
    </row>
    <row r="25" spans="1:9" x14ac:dyDescent="0.2">
      <c r="A25" s="3">
        <v>126</v>
      </c>
      <c r="B25" s="4">
        <v>132</v>
      </c>
      <c r="C25" s="4">
        <v>2</v>
      </c>
      <c r="D25" s="4">
        <v>1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2">
      <c r="A26" s="3">
        <v>132</v>
      </c>
      <c r="B26" s="4">
        <v>138</v>
      </c>
      <c r="C26" s="4">
        <v>0</v>
      </c>
      <c r="D26" s="4">
        <v>1</v>
      </c>
      <c r="E26" s="4">
        <v>0</v>
      </c>
      <c r="F26" s="4">
        <v>2</v>
      </c>
      <c r="G26" s="4">
        <v>0</v>
      </c>
      <c r="H26" s="4">
        <v>0</v>
      </c>
      <c r="I26" s="4">
        <v>0</v>
      </c>
    </row>
    <row r="27" spans="1:9" x14ac:dyDescent="0.2">
      <c r="A27" s="3">
        <v>138</v>
      </c>
      <c r="B27" s="4">
        <v>144</v>
      </c>
      <c r="C27" s="4">
        <v>3</v>
      </c>
      <c r="D27" s="4">
        <v>1</v>
      </c>
      <c r="E27" s="4">
        <v>0</v>
      </c>
      <c r="F27" s="4">
        <v>2</v>
      </c>
      <c r="G27" s="4">
        <v>0</v>
      </c>
      <c r="H27" s="4">
        <v>1</v>
      </c>
      <c r="I27" s="4">
        <v>1</v>
      </c>
    </row>
    <row r="28" spans="1:9" x14ac:dyDescent="0.2">
      <c r="A28" s="3">
        <v>144</v>
      </c>
      <c r="B28" s="4">
        <v>150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2">
      <c r="A29" s="3">
        <v>150</v>
      </c>
      <c r="B29" s="4">
        <v>156</v>
      </c>
      <c r="C29" s="4">
        <v>0</v>
      </c>
      <c r="D29" s="4">
        <v>0</v>
      </c>
      <c r="E29" s="4">
        <v>2</v>
      </c>
      <c r="F29" s="4">
        <v>0</v>
      </c>
      <c r="G29" s="4">
        <v>0</v>
      </c>
      <c r="H29" s="4">
        <v>0</v>
      </c>
      <c r="I29" s="4">
        <v>1</v>
      </c>
    </row>
    <row r="30" spans="1:9" x14ac:dyDescent="0.2">
      <c r="A30" s="3">
        <v>156</v>
      </c>
      <c r="B30" s="4">
        <v>162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2">
      <c r="A31" s="3">
        <v>162</v>
      </c>
      <c r="B31" s="4">
        <v>168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 x14ac:dyDescent="0.2">
      <c r="A32" s="3">
        <v>168</v>
      </c>
      <c r="B32" s="4">
        <v>174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</v>
      </c>
    </row>
    <row r="33" spans="1:9" x14ac:dyDescent="0.2">
      <c r="A33" s="3">
        <v>174</v>
      </c>
      <c r="B33" s="4">
        <v>180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</v>
      </c>
    </row>
    <row r="34" spans="1:9" x14ac:dyDescent="0.2">
      <c r="A34" s="3">
        <v>180</v>
      </c>
      <c r="B34" s="4">
        <v>186</v>
      </c>
      <c r="C34" s="4">
        <v>0</v>
      </c>
      <c r="D34" s="4">
        <v>0</v>
      </c>
      <c r="E34" s="4">
        <v>2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2">
      <c r="A35" s="3">
        <v>186</v>
      </c>
      <c r="B35" s="4">
        <v>192</v>
      </c>
      <c r="C35" s="4">
        <v>1</v>
      </c>
      <c r="D35" s="4">
        <v>0</v>
      </c>
      <c r="E35" s="4">
        <v>0</v>
      </c>
      <c r="F35" s="4">
        <v>1</v>
      </c>
      <c r="G35" s="4">
        <v>0</v>
      </c>
      <c r="H35" s="4">
        <v>0</v>
      </c>
      <c r="I35" s="4">
        <v>0</v>
      </c>
    </row>
    <row r="36" spans="1:9" x14ac:dyDescent="0.2">
      <c r="A36" s="3">
        <v>192</v>
      </c>
      <c r="B36" s="4">
        <v>198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x14ac:dyDescent="0.2">
      <c r="A37" s="3">
        <v>198</v>
      </c>
      <c r="B37" s="4">
        <v>204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</row>
    <row r="38" spans="1:9" x14ac:dyDescent="0.2">
      <c r="A38" s="3">
        <v>204</v>
      </c>
      <c r="B38" s="4">
        <v>210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2</v>
      </c>
    </row>
    <row r="39" spans="1:9" x14ac:dyDescent="0.2">
      <c r="A39" s="3">
        <v>210</v>
      </c>
      <c r="B39" s="4">
        <v>216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</row>
    <row r="40" spans="1:9" x14ac:dyDescent="0.2">
      <c r="A40" s="3">
        <v>216</v>
      </c>
      <c r="B40" s="4">
        <v>222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1</v>
      </c>
    </row>
    <row r="41" spans="1:9" x14ac:dyDescent="0.2">
      <c r="A41" s="3">
        <v>222</v>
      </c>
      <c r="B41" s="4">
        <v>228</v>
      </c>
      <c r="C41" s="4">
        <v>0</v>
      </c>
      <c r="D41" s="4">
        <v>1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</row>
    <row r="42" spans="1:9" x14ac:dyDescent="0.2">
      <c r="A42" s="3">
        <v>228</v>
      </c>
      <c r="B42" s="4">
        <v>234</v>
      </c>
      <c r="C42" s="4">
        <v>0</v>
      </c>
      <c r="D42" s="4">
        <v>0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</row>
    <row r="43" spans="1:9" x14ac:dyDescent="0.2">
      <c r="A43" s="3">
        <v>234</v>
      </c>
      <c r="B43" s="4">
        <v>240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2</v>
      </c>
    </row>
    <row r="44" spans="1:9" x14ac:dyDescent="0.2">
      <c r="A44" s="3">
        <v>240</v>
      </c>
      <c r="B44" s="4">
        <v>246</v>
      </c>
      <c r="C44" s="4">
        <v>0</v>
      </c>
      <c r="D44" s="4">
        <v>0</v>
      </c>
      <c r="E44" s="4">
        <v>0</v>
      </c>
      <c r="F44" s="4">
        <v>1</v>
      </c>
      <c r="G44" s="4">
        <v>1</v>
      </c>
      <c r="H44" s="4">
        <v>0</v>
      </c>
      <c r="I44" s="4">
        <v>0</v>
      </c>
    </row>
    <row r="45" spans="1:9" x14ac:dyDescent="0.2">
      <c r="A45" s="3">
        <v>246</v>
      </c>
      <c r="B45" s="4">
        <v>252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1</v>
      </c>
    </row>
    <row r="46" spans="1:9" x14ac:dyDescent="0.2">
      <c r="A46" s="3">
        <v>252</v>
      </c>
      <c r="B46" s="4">
        <v>258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x14ac:dyDescent="0.2">
      <c r="A47" s="3">
        <v>258</v>
      </c>
      <c r="B47" s="4">
        <v>264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</row>
    <row r="48" spans="1:9" x14ac:dyDescent="0.2">
      <c r="A48" s="3">
        <v>264</v>
      </c>
      <c r="B48" s="4">
        <v>270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 x14ac:dyDescent="0.2">
      <c r="A49" s="3">
        <v>270</v>
      </c>
      <c r="B49" s="4">
        <v>276</v>
      </c>
      <c r="C49" s="4">
        <v>0</v>
      </c>
      <c r="D49" s="4">
        <v>0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</row>
    <row r="50" spans="1:9" x14ac:dyDescent="0.2">
      <c r="A50" s="3">
        <v>276</v>
      </c>
      <c r="B50" s="4">
        <v>282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1</v>
      </c>
      <c r="I50" s="4">
        <v>0</v>
      </c>
    </row>
    <row r="51" spans="1:9" x14ac:dyDescent="0.2">
      <c r="A51" s="3">
        <v>282</v>
      </c>
      <c r="B51" s="4">
        <v>288</v>
      </c>
      <c r="C51" s="4">
        <v>0</v>
      </c>
      <c r="D51" s="4">
        <v>0</v>
      </c>
      <c r="E51" s="4">
        <v>0</v>
      </c>
      <c r="F51" s="4">
        <v>1</v>
      </c>
      <c r="G51" s="4">
        <v>1</v>
      </c>
      <c r="H51" s="4">
        <v>0</v>
      </c>
      <c r="I51" s="4">
        <v>0</v>
      </c>
    </row>
    <row r="52" spans="1:9" x14ac:dyDescent="0.2">
      <c r="A52" s="3">
        <v>288</v>
      </c>
      <c r="B52" s="4">
        <v>294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</row>
    <row r="53" spans="1:9" x14ac:dyDescent="0.2">
      <c r="A53" s="3">
        <v>294</v>
      </c>
      <c r="B53" s="4">
        <v>300</v>
      </c>
      <c r="C53" s="4">
        <v>0</v>
      </c>
      <c r="D53" s="4">
        <v>0</v>
      </c>
      <c r="E53" s="4">
        <v>1</v>
      </c>
      <c r="F53" s="4">
        <v>0</v>
      </c>
      <c r="G53" s="4">
        <v>0</v>
      </c>
      <c r="H53" s="4">
        <v>0</v>
      </c>
      <c r="I53" s="4">
        <v>1</v>
      </c>
    </row>
    <row r="54" spans="1:9" x14ac:dyDescent="0.2">
      <c r="A54" s="3">
        <v>300</v>
      </c>
      <c r="B54" s="4">
        <v>306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2</v>
      </c>
      <c r="I54" s="4">
        <v>0</v>
      </c>
    </row>
    <row r="55" spans="1:9" x14ac:dyDescent="0.2">
      <c r="A55" s="3">
        <v>306</v>
      </c>
      <c r="B55" s="4">
        <v>312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x14ac:dyDescent="0.2">
      <c r="A56" s="3">
        <v>312</v>
      </c>
      <c r="B56" s="4">
        <v>318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 x14ac:dyDescent="0.2">
      <c r="A57" s="3">
        <v>318</v>
      </c>
      <c r="B57" s="4">
        <v>324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</row>
    <row r="58" spans="1:9" x14ac:dyDescent="0.2">
      <c r="A58" s="3">
        <v>324</v>
      </c>
      <c r="B58" s="4">
        <v>330</v>
      </c>
      <c r="C58" s="4">
        <v>0</v>
      </c>
      <c r="D58" s="4">
        <v>0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</row>
    <row r="59" spans="1:9" x14ac:dyDescent="0.2">
      <c r="A59" s="3">
        <v>330</v>
      </c>
      <c r="B59" s="4">
        <v>336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</v>
      </c>
    </row>
    <row r="60" spans="1:9" x14ac:dyDescent="0.2">
      <c r="A60" s="3">
        <v>336</v>
      </c>
      <c r="B60" s="4">
        <v>342</v>
      </c>
      <c r="C60" s="4">
        <v>0</v>
      </c>
      <c r="D60" s="4">
        <v>0</v>
      </c>
      <c r="E60" s="4">
        <v>0</v>
      </c>
      <c r="F60" s="4">
        <v>0</v>
      </c>
      <c r="G60" s="4">
        <v>1</v>
      </c>
      <c r="H60" s="4">
        <v>0</v>
      </c>
      <c r="I60" s="4">
        <v>0</v>
      </c>
    </row>
    <row r="61" spans="1:9" x14ac:dyDescent="0.2">
      <c r="A61" s="3">
        <v>342</v>
      </c>
      <c r="B61" s="4">
        <v>348</v>
      </c>
      <c r="C61" s="4">
        <v>0</v>
      </c>
      <c r="D61" s="4">
        <v>0</v>
      </c>
      <c r="E61" s="4">
        <v>2</v>
      </c>
      <c r="F61" s="4">
        <v>0</v>
      </c>
      <c r="G61" s="4">
        <v>0</v>
      </c>
      <c r="H61" s="4">
        <v>0</v>
      </c>
      <c r="I61" s="4">
        <v>0</v>
      </c>
    </row>
    <row r="62" spans="1:9" x14ac:dyDescent="0.2">
      <c r="A62" s="3">
        <v>348</v>
      </c>
      <c r="B62" s="4">
        <v>354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1</v>
      </c>
      <c r="I62" s="4">
        <v>0</v>
      </c>
    </row>
    <row r="63" spans="1:9" x14ac:dyDescent="0.2">
      <c r="A63" s="3">
        <v>354</v>
      </c>
      <c r="B63" s="4">
        <v>360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0312-1562-F840-A063-44C6A7D7C2C8}">
  <dimension ref="A2:J63"/>
  <sheetViews>
    <sheetView topLeftCell="A5" workbookViewId="0">
      <selection sqref="A1:J63"/>
    </sheetView>
  </sheetViews>
  <sheetFormatPr baseColWidth="10" defaultRowHeight="16" x14ac:dyDescent="0.2"/>
  <sheetData>
    <row r="2" spans="1:10" x14ac:dyDescent="0.2">
      <c r="A2" t="s">
        <v>3</v>
      </c>
      <c r="B2">
        <f>SUM(B4:B63)</f>
        <v>305</v>
      </c>
      <c r="C2">
        <f t="shared" ref="C2:H2" si="0">SUM(C4:C63)</f>
        <v>599</v>
      </c>
      <c r="D2">
        <f t="shared" si="0"/>
        <v>1681</v>
      </c>
      <c r="E2">
        <f t="shared" si="0"/>
        <v>1123</v>
      </c>
      <c r="F2">
        <f t="shared" si="0"/>
        <v>28</v>
      </c>
      <c r="G2">
        <f t="shared" si="0"/>
        <v>22</v>
      </c>
      <c r="H2">
        <f t="shared" si="0"/>
        <v>17</v>
      </c>
      <c r="I2">
        <f>SUM(B2:H2)</f>
        <v>3775</v>
      </c>
    </row>
    <row r="3" spans="1:10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J3" t="s">
        <v>14</v>
      </c>
    </row>
    <row r="4" spans="1:1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>
        <f>A4*6+3</f>
        <v>3</v>
      </c>
    </row>
    <row r="5" spans="1:10" x14ac:dyDescent="0.2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f t="shared" ref="J5:J63" si="1">A5*6+3</f>
        <v>9</v>
      </c>
    </row>
    <row r="6" spans="1:10" x14ac:dyDescent="0.2">
      <c r="A6">
        <v>2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J6">
        <f t="shared" si="1"/>
        <v>15</v>
      </c>
    </row>
    <row r="7" spans="1:10" x14ac:dyDescent="0.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J7">
        <f t="shared" si="1"/>
        <v>21</v>
      </c>
    </row>
    <row r="8" spans="1:10" x14ac:dyDescent="0.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f t="shared" si="1"/>
        <v>27</v>
      </c>
    </row>
    <row r="9" spans="1:10" x14ac:dyDescent="0.2">
      <c r="A9">
        <v>5</v>
      </c>
      <c r="B9">
        <v>0</v>
      </c>
      <c r="C9">
        <v>0</v>
      </c>
      <c r="D9">
        <v>1</v>
      </c>
      <c r="E9">
        <v>0</v>
      </c>
      <c r="F9">
        <v>1</v>
      </c>
      <c r="G9">
        <v>4</v>
      </c>
      <c r="H9">
        <v>0</v>
      </c>
      <c r="J9">
        <f t="shared" si="1"/>
        <v>33</v>
      </c>
    </row>
    <row r="10" spans="1:10" x14ac:dyDescent="0.2">
      <c r="A10">
        <v>6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J10">
        <f t="shared" si="1"/>
        <v>39</v>
      </c>
    </row>
    <row r="11" spans="1:10" x14ac:dyDescent="0.2">
      <c r="A11">
        <v>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f t="shared" si="1"/>
        <v>45</v>
      </c>
    </row>
    <row r="12" spans="1:10" x14ac:dyDescent="0.2">
      <c r="A12">
        <v>8</v>
      </c>
      <c r="B12">
        <v>1</v>
      </c>
      <c r="C12">
        <v>0</v>
      </c>
      <c r="D12">
        <v>2</v>
      </c>
      <c r="E12">
        <v>1</v>
      </c>
      <c r="F12">
        <v>1</v>
      </c>
      <c r="G12">
        <v>0</v>
      </c>
      <c r="H12">
        <v>0</v>
      </c>
      <c r="J12">
        <f t="shared" si="1"/>
        <v>51</v>
      </c>
    </row>
    <row r="13" spans="1:10" x14ac:dyDescent="0.2">
      <c r="A13">
        <v>9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J13">
        <f t="shared" si="1"/>
        <v>57</v>
      </c>
    </row>
    <row r="14" spans="1:10" x14ac:dyDescent="0.2">
      <c r="A14">
        <v>10</v>
      </c>
      <c r="B14">
        <v>0</v>
      </c>
      <c r="C14">
        <v>2</v>
      </c>
      <c r="D14">
        <v>6</v>
      </c>
      <c r="E14">
        <v>3</v>
      </c>
      <c r="F14">
        <v>0</v>
      </c>
      <c r="G14">
        <v>0</v>
      </c>
      <c r="H14">
        <v>0</v>
      </c>
      <c r="J14">
        <f t="shared" si="1"/>
        <v>63</v>
      </c>
    </row>
    <row r="15" spans="1:10" x14ac:dyDescent="0.2">
      <c r="A15">
        <v>11</v>
      </c>
      <c r="B15">
        <v>7</v>
      </c>
      <c r="C15">
        <v>8</v>
      </c>
      <c r="D15">
        <v>16</v>
      </c>
      <c r="E15">
        <v>13</v>
      </c>
      <c r="F15">
        <v>0</v>
      </c>
      <c r="G15">
        <v>0</v>
      </c>
      <c r="H15">
        <v>0</v>
      </c>
      <c r="J15">
        <f t="shared" si="1"/>
        <v>69</v>
      </c>
    </row>
    <row r="16" spans="1:10" x14ac:dyDescent="0.2">
      <c r="A16">
        <v>12</v>
      </c>
      <c r="B16">
        <v>29</v>
      </c>
      <c r="C16">
        <v>51</v>
      </c>
      <c r="D16">
        <v>161</v>
      </c>
      <c r="E16">
        <v>91</v>
      </c>
      <c r="F16">
        <v>1</v>
      </c>
      <c r="G16">
        <v>1</v>
      </c>
      <c r="H16">
        <v>1</v>
      </c>
      <c r="J16">
        <f t="shared" si="1"/>
        <v>75</v>
      </c>
    </row>
    <row r="17" spans="1:10" x14ac:dyDescent="0.2">
      <c r="A17">
        <v>13</v>
      </c>
      <c r="B17">
        <v>63</v>
      </c>
      <c r="C17">
        <v>159</v>
      </c>
      <c r="D17">
        <v>456</v>
      </c>
      <c r="E17">
        <v>251</v>
      </c>
      <c r="F17">
        <v>4</v>
      </c>
      <c r="G17">
        <v>1</v>
      </c>
      <c r="H17">
        <v>0</v>
      </c>
      <c r="J17">
        <f t="shared" si="1"/>
        <v>81</v>
      </c>
    </row>
    <row r="18" spans="1:10" x14ac:dyDescent="0.2">
      <c r="A18">
        <v>14</v>
      </c>
      <c r="B18">
        <v>101</v>
      </c>
      <c r="C18">
        <v>200</v>
      </c>
      <c r="D18">
        <v>568</v>
      </c>
      <c r="E18">
        <v>424</v>
      </c>
      <c r="F18">
        <v>7</v>
      </c>
      <c r="G18">
        <v>2</v>
      </c>
      <c r="H18">
        <v>1</v>
      </c>
      <c r="J18">
        <f t="shared" si="1"/>
        <v>87</v>
      </c>
    </row>
    <row r="19" spans="1:10" x14ac:dyDescent="0.2">
      <c r="A19">
        <v>15</v>
      </c>
      <c r="B19">
        <v>60</v>
      </c>
      <c r="C19">
        <v>130</v>
      </c>
      <c r="D19">
        <v>353</v>
      </c>
      <c r="E19">
        <v>241</v>
      </c>
      <c r="F19">
        <v>3</v>
      </c>
      <c r="G19">
        <v>3</v>
      </c>
      <c r="H19">
        <v>1</v>
      </c>
      <c r="J19">
        <f t="shared" si="1"/>
        <v>93</v>
      </c>
    </row>
    <row r="20" spans="1:10" x14ac:dyDescent="0.2">
      <c r="A20">
        <v>16</v>
      </c>
      <c r="B20">
        <v>22</v>
      </c>
      <c r="C20">
        <v>30</v>
      </c>
      <c r="D20">
        <v>91</v>
      </c>
      <c r="E20">
        <v>75</v>
      </c>
      <c r="F20">
        <v>0</v>
      </c>
      <c r="G20">
        <v>1</v>
      </c>
      <c r="H20">
        <v>0</v>
      </c>
      <c r="J20">
        <f t="shared" si="1"/>
        <v>99</v>
      </c>
    </row>
    <row r="21" spans="1:10" x14ac:dyDescent="0.2">
      <c r="A21">
        <v>17</v>
      </c>
      <c r="B21">
        <v>3</v>
      </c>
      <c r="C21">
        <v>6</v>
      </c>
      <c r="D21">
        <v>13</v>
      </c>
      <c r="E21">
        <v>10</v>
      </c>
      <c r="F21">
        <v>0</v>
      </c>
      <c r="G21">
        <v>0</v>
      </c>
      <c r="H21">
        <v>0</v>
      </c>
      <c r="J21">
        <f t="shared" si="1"/>
        <v>105</v>
      </c>
    </row>
    <row r="22" spans="1:10" x14ac:dyDescent="0.2">
      <c r="A22">
        <v>18</v>
      </c>
      <c r="B22">
        <v>2</v>
      </c>
      <c r="C22">
        <v>4</v>
      </c>
      <c r="D22">
        <v>4</v>
      </c>
      <c r="E22">
        <v>1</v>
      </c>
      <c r="F22">
        <v>0</v>
      </c>
      <c r="G22">
        <v>0</v>
      </c>
      <c r="H22">
        <v>0</v>
      </c>
      <c r="J22">
        <f t="shared" si="1"/>
        <v>111</v>
      </c>
    </row>
    <row r="23" spans="1:10" x14ac:dyDescent="0.2">
      <c r="A23">
        <v>19</v>
      </c>
      <c r="B23">
        <v>4</v>
      </c>
      <c r="C23">
        <v>2</v>
      </c>
      <c r="D23">
        <v>0</v>
      </c>
      <c r="E23">
        <v>1</v>
      </c>
      <c r="F23">
        <v>0</v>
      </c>
      <c r="G23">
        <v>0</v>
      </c>
      <c r="H23">
        <v>0</v>
      </c>
      <c r="J23">
        <f t="shared" si="1"/>
        <v>117</v>
      </c>
    </row>
    <row r="24" spans="1:10" x14ac:dyDescent="0.2">
      <c r="A24">
        <v>20</v>
      </c>
      <c r="B24">
        <v>4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J24">
        <f t="shared" si="1"/>
        <v>123</v>
      </c>
    </row>
    <row r="25" spans="1:10" x14ac:dyDescent="0.2">
      <c r="A25">
        <v>21</v>
      </c>
      <c r="B25">
        <v>1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J25">
        <f t="shared" si="1"/>
        <v>129</v>
      </c>
    </row>
    <row r="26" spans="1:10" x14ac:dyDescent="0.2">
      <c r="A26">
        <v>22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1</v>
      </c>
      <c r="J26">
        <f t="shared" si="1"/>
        <v>135</v>
      </c>
    </row>
    <row r="27" spans="1:10" x14ac:dyDescent="0.2">
      <c r="A27">
        <v>23</v>
      </c>
      <c r="B27">
        <v>2</v>
      </c>
      <c r="C27">
        <v>1</v>
      </c>
      <c r="D27">
        <v>0</v>
      </c>
      <c r="E27">
        <v>2</v>
      </c>
      <c r="F27">
        <v>0</v>
      </c>
      <c r="G27">
        <v>1</v>
      </c>
      <c r="H27">
        <v>0</v>
      </c>
      <c r="J27">
        <f t="shared" si="1"/>
        <v>141</v>
      </c>
    </row>
    <row r="28" spans="1:10" x14ac:dyDescent="0.2">
      <c r="A28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f t="shared" si="1"/>
        <v>147</v>
      </c>
    </row>
    <row r="29" spans="1:10" x14ac:dyDescent="0.2">
      <c r="A29">
        <v>25</v>
      </c>
      <c r="B29">
        <v>0</v>
      </c>
      <c r="C29">
        <v>0</v>
      </c>
      <c r="D29">
        <v>2</v>
      </c>
      <c r="E29">
        <v>0</v>
      </c>
      <c r="F29">
        <v>0</v>
      </c>
      <c r="G29">
        <v>0</v>
      </c>
      <c r="H29">
        <v>1</v>
      </c>
      <c r="J29">
        <f t="shared" si="1"/>
        <v>153</v>
      </c>
    </row>
    <row r="30" spans="1:10" x14ac:dyDescent="0.2">
      <c r="A30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f t="shared" si="1"/>
        <v>159</v>
      </c>
    </row>
    <row r="31" spans="1:10" x14ac:dyDescent="0.2">
      <c r="A31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>
        <f t="shared" si="1"/>
        <v>165</v>
      </c>
    </row>
    <row r="32" spans="1:10" x14ac:dyDescent="0.2">
      <c r="A32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J32">
        <f t="shared" si="1"/>
        <v>171</v>
      </c>
    </row>
    <row r="33" spans="1:10" x14ac:dyDescent="0.2">
      <c r="A33">
        <v>29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J33">
        <f t="shared" si="1"/>
        <v>177</v>
      </c>
    </row>
    <row r="34" spans="1:10" x14ac:dyDescent="0.2">
      <c r="A34">
        <v>30</v>
      </c>
      <c r="B34">
        <v>0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J34">
        <f t="shared" si="1"/>
        <v>183</v>
      </c>
    </row>
    <row r="35" spans="1:10" x14ac:dyDescent="0.2">
      <c r="A35">
        <v>31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J35">
        <f t="shared" si="1"/>
        <v>189</v>
      </c>
    </row>
    <row r="36" spans="1:10" x14ac:dyDescent="0.2">
      <c r="A36">
        <v>32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J36">
        <f t="shared" si="1"/>
        <v>195</v>
      </c>
    </row>
    <row r="37" spans="1:10" x14ac:dyDescent="0.2">
      <c r="A37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J37">
        <f t="shared" si="1"/>
        <v>201</v>
      </c>
    </row>
    <row r="38" spans="1:10" x14ac:dyDescent="0.2">
      <c r="A38">
        <v>34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J38">
        <f t="shared" si="1"/>
        <v>207</v>
      </c>
    </row>
    <row r="39" spans="1:10" x14ac:dyDescent="0.2">
      <c r="A39">
        <v>35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J39">
        <f t="shared" si="1"/>
        <v>213</v>
      </c>
    </row>
    <row r="40" spans="1:10" x14ac:dyDescent="0.2">
      <c r="A40">
        <v>36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J40">
        <f t="shared" si="1"/>
        <v>219</v>
      </c>
    </row>
    <row r="41" spans="1:10" x14ac:dyDescent="0.2">
      <c r="A41">
        <v>37</v>
      </c>
      <c r="B41">
        <v>0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J41">
        <f t="shared" si="1"/>
        <v>225</v>
      </c>
    </row>
    <row r="42" spans="1:10" x14ac:dyDescent="0.2">
      <c r="A42">
        <v>38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f t="shared" si="1"/>
        <v>231</v>
      </c>
    </row>
    <row r="43" spans="1:10" x14ac:dyDescent="0.2">
      <c r="A43">
        <v>39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2</v>
      </c>
      <c r="J43">
        <f t="shared" si="1"/>
        <v>237</v>
      </c>
    </row>
    <row r="44" spans="1:10" x14ac:dyDescent="0.2">
      <c r="A44">
        <v>40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J44">
        <f t="shared" si="1"/>
        <v>243</v>
      </c>
    </row>
    <row r="45" spans="1:10" x14ac:dyDescent="0.2">
      <c r="A45">
        <v>41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J45">
        <f t="shared" si="1"/>
        <v>249</v>
      </c>
    </row>
    <row r="46" spans="1:10" x14ac:dyDescent="0.2">
      <c r="A46">
        <v>42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J46">
        <f t="shared" si="1"/>
        <v>255</v>
      </c>
    </row>
    <row r="47" spans="1:10" x14ac:dyDescent="0.2">
      <c r="A47">
        <v>43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J47">
        <f t="shared" si="1"/>
        <v>261</v>
      </c>
    </row>
    <row r="48" spans="1:10" x14ac:dyDescent="0.2">
      <c r="A48">
        <v>44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J48">
        <f t="shared" si="1"/>
        <v>267</v>
      </c>
    </row>
    <row r="49" spans="1:10" x14ac:dyDescent="0.2">
      <c r="A49">
        <v>45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J49">
        <f t="shared" si="1"/>
        <v>273</v>
      </c>
    </row>
    <row r="50" spans="1:10" x14ac:dyDescent="0.2">
      <c r="A50">
        <v>46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J50">
        <f t="shared" si="1"/>
        <v>279</v>
      </c>
    </row>
    <row r="51" spans="1:10" x14ac:dyDescent="0.2">
      <c r="A51">
        <v>47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J51">
        <f t="shared" si="1"/>
        <v>285</v>
      </c>
    </row>
    <row r="52" spans="1:10" x14ac:dyDescent="0.2">
      <c r="A52">
        <v>48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J52">
        <f t="shared" si="1"/>
        <v>291</v>
      </c>
    </row>
    <row r="53" spans="1:10" x14ac:dyDescent="0.2">
      <c r="A53">
        <v>49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1</v>
      </c>
      <c r="J53">
        <f t="shared" si="1"/>
        <v>297</v>
      </c>
    </row>
    <row r="54" spans="1:10" x14ac:dyDescent="0.2">
      <c r="A54">
        <v>50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0</v>
      </c>
      <c r="J54">
        <f t="shared" si="1"/>
        <v>303</v>
      </c>
    </row>
    <row r="55" spans="1:10" x14ac:dyDescent="0.2">
      <c r="A55">
        <v>51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J55">
        <f t="shared" si="1"/>
        <v>309</v>
      </c>
    </row>
    <row r="56" spans="1:10" x14ac:dyDescent="0.2">
      <c r="A56">
        <v>52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J56">
        <f t="shared" si="1"/>
        <v>315</v>
      </c>
    </row>
    <row r="57" spans="1:10" x14ac:dyDescent="0.2">
      <c r="A57">
        <v>53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J57">
        <f t="shared" si="1"/>
        <v>321</v>
      </c>
    </row>
    <row r="58" spans="1:10" x14ac:dyDescent="0.2">
      <c r="A58">
        <v>54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J58">
        <f t="shared" si="1"/>
        <v>327</v>
      </c>
    </row>
    <row r="59" spans="1:10" x14ac:dyDescent="0.2">
      <c r="A59">
        <v>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J59">
        <f t="shared" si="1"/>
        <v>333</v>
      </c>
    </row>
    <row r="60" spans="1:10" x14ac:dyDescent="0.2">
      <c r="A60">
        <v>56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J60">
        <f t="shared" si="1"/>
        <v>339</v>
      </c>
    </row>
    <row r="61" spans="1:10" x14ac:dyDescent="0.2">
      <c r="A61">
        <v>57</v>
      </c>
      <c r="B61">
        <v>0</v>
      </c>
      <c r="C61">
        <v>0</v>
      </c>
      <c r="D61">
        <v>2</v>
      </c>
      <c r="E61">
        <v>0</v>
      </c>
      <c r="F61">
        <v>0</v>
      </c>
      <c r="G61">
        <v>1</v>
      </c>
      <c r="H61">
        <v>0</v>
      </c>
      <c r="J61">
        <f t="shared" si="1"/>
        <v>345</v>
      </c>
    </row>
    <row r="62" spans="1:10" x14ac:dyDescent="0.2">
      <c r="A62">
        <v>58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J62">
        <f t="shared" si="1"/>
        <v>351</v>
      </c>
    </row>
    <row r="63" spans="1:10" x14ac:dyDescent="0.2">
      <c r="A63">
        <v>59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J63">
        <f t="shared" si="1"/>
        <v>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5218-007E-D14F-B441-36AC4CEB677B}">
  <dimension ref="A1:I63"/>
  <sheetViews>
    <sheetView workbookViewId="0">
      <pane ySplit="3320"/>
      <selection sqref="A1:I63"/>
      <selection pane="bottomLeft" activeCell="B28" sqref="B28:B66"/>
    </sheetView>
  </sheetViews>
  <sheetFormatPr baseColWidth="10" defaultRowHeight="16" x14ac:dyDescent="0.2"/>
  <sheetData>
    <row r="1" spans="1:9" x14ac:dyDescent="0.2">
      <c r="A1" t="s">
        <v>13</v>
      </c>
      <c r="B1" s="2">
        <f>B2/'O-imap_lo_I1b_histrates_DOY058'!B2</f>
        <v>0.14426229508196722</v>
      </c>
      <c r="C1" s="2">
        <f>C2/'O-imap_lo_I1b_histrates_DOY058'!C2</f>
        <v>0.15358931552587646</v>
      </c>
      <c r="D1" s="2">
        <f>D2/'O-imap_lo_I1b_histrates_DOY058'!D2</f>
        <v>0.13563355145746581</v>
      </c>
      <c r="E1" s="2">
        <f>E2/'O-imap_lo_I1b_histrates_DOY058'!E2</f>
        <v>0.12733748886910062</v>
      </c>
      <c r="F1" s="2">
        <f>F2/'O-imap_lo_I1b_histrates_DOY058'!F2</f>
        <v>0.21428571428571427</v>
      </c>
      <c r="G1" s="2">
        <f>G2/'O-imap_lo_I1b_histrates_DOY058'!G2</f>
        <v>9.0909090909090912E-2</v>
      </c>
      <c r="H1" s="2">
        <f>H2/'O-imap_lo_I1b_histrates_DOY058'!H2</f>
        <v>0.23529411764705882</v>
      </c>
      <c r="I1" s="2">
        <f>I2/'O-imap_lo_I1b_histrates_DOY058'!I2</f>
        <v>0.13748344370860927</v>
      </c>
    </row>
    <row r="2" spans="1:9" x14ac:dyDescent="0.2">
      <c r="A2" t="s">
        <v>12</v>
      </c>
      <c r="B2" s="1">
        <f>SUM(B4:B63)</f>
        <v>44</v>
      </c>
      <c r="C2" s="1">
        <f t="shared" ref="C2:H2" si="0">SUM(C4:C63)</f>
        <v>92</v>
      </c>
      <c r="D2" s="1">
        <f t="shared" si="0"/>
        <v>228</v>
      </c>
      <c r="E2" s="1">
        <f t="shared" si="0"/>
        <v>143</v>
      </c>
      <c r="F2" s="1">
        <f t="shared" si="0"/>
        <v>6</v>
      </c>
      <c r="G2" s="1">
        <f t="shared" si="0"/>
        <v>2</v>
      </c>
      <c r="H2" s="1">
        <f t="shared" si="0"/>
        <v>4</v>
      </c>
      <c r="I2" s="1">
        <f>SUM(B2:H2)</f>
        <v>519</v>
      </c>
    </row>
    <row r="3" spans="1:9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9" x14ac:dyDescent="0.2">
      <c r="A4">
        <v>0</v>
      </c>
      <c r="B4" s="1">
        <f>'O-imap_lo_I1b_histrates_DOY058'!B4-'EMv3_spinangle_O-DOY058_DEs_All'!C4</f>
        <v>0</v>
      </c>
      <c r="C4" s="1">
        <f>'O-imap_lo_I1b_histrates_DOY058'!C4-'EMv3_spinangle_O-DOY058_DEs_All'!D4</f>
        <v>0</v>
      </c>
      <c r="D4" s="1">
        <f>'O-imap_lo_I1b_histrates_DOY058'!D4-'EMv3_spinangle_O-DOY058_DEs_All'!E4</f>
        <v>0</v>
      </c>
      <c r="E4" s="1">
        <f>'O-imap_lo_I1b_histrates_DOY058'!E4-'EMv3_spinangle_O-DOY058_DEs_All'!F4</f>
        <v>0</v>
      </c>
      <c r="F4" s="1">
        <f>'O-imap_lo_I1b_histrates_DOY058'!F4-'EMv3_spinangle_O-DOY058_DEs_All'!G4</f>
        <v>0</v>
      </c>
      <c r="G4" s="1">
        <f>'O-imap_lo_I1b_histrates_DOY058'!G4-'EMv3_spinangle_O-DOY058_DEs_All'!H4</f>
        <v>0</v>
      </c>
      <c r="H4" s="1">
        <f>'O-imap_lo_I1b_histrates_DOY058'!H4-'EMv3_spinangle_O-DOY058_DEs_All'!I4</f>
        <v>0</v>
      </c>
    </row>
    <row r="5" spans="1:9" x14ac:dyDescent="0.2">
      <c r="A5">
        <v>1</v>
      </c>
      <c r="B5" s="1">
        <f>'O-imap_lo_I1b_histrates_DOY058'!B5-'EMv3_spinangle_O-DOY058_DEs_All'!C5</f>
        <v>0</v>
      </c>
      <c r="C5" s="1">
        <f>'O-imap_lo_I1b_histrates_DOY058'!C5-'EMv3_spinangle_O-DOY058_DEs_All'!D5</f>
        <v>0</v>
      </c>
      <c r="D5" s="1">
        <f>'O-imap_lo_I1b_histrates_DOY058'!D5-'EMv3_spinangle_O-DOY058_DEs_All'!E5</f>
        <v>0</v>
      </c>
      <c r="E5" s="1">
        <f>'O-imap_lo_I1b_histrates_DOY058'!E5-'EMv3_spinangle_O-DOY058_DEs_All'!F5</f>
        <v>0</v>
      </c>
      <c r="F5" s="1">
        <f>'O-imap_lo_I1b_histrates_DOY058'!F5-'EMv3_spinangle_O-DOY058_DEs_All'!G5</f>
        <v>0</v>
      </c>
      <c r="G5" s="1">
        <f>'O-imap_lo_I1b_histrates_DOY058'!G5-'EMv3_spinangle_O-DOY058_DEs_All'!H5</f>
        <v>0</v>
      </c>
      <c r="H5" s="1">
        <f>'O-imap_lo_I1b_histrates_DOY058'!H5-'EMv3_spinangle_O-DOY058_DEs_All'!I5</f>
        <v>0</v>
      </c>
    </row>
    <row r="6" spans="1:9" x14ac:dyDescent="0.2">
      <c r="A6">
        <v>2</v>
      </c>
      <c r="B6" s="1">
        <f>'O-imap_lo_I1b_histrates_DOY058'!B6-'EMv3_spinangle_O-DOY058_DEs_All'!C6</f>
        <v>0</v>
      </c>
      <c r="C6" s="1">
        <f>'O-imap_lo_I1b_histrates_DOY058'!C6-'EMv3_spinangle_O-DOY058_DEs_All'!D6</f>
        <v>0</v>
      </c>
      <c r="D6" s="1">
        <f>'O-imap_lo_I1b_histrates_DOY058'!D6-'EMv3_spinangle_O-DOY058_DEs_All'!E6</f>
        <v>0</v>
      </c>
      <c r="E6" s="1">
        <f>'O-imap_lo_I1b_histrates_DOY058'!E6-'EMv3_spinangle_O-DOY058_DEs_All'!F6</f>
        <v>1</v>
      </c>
      <c r="F6" s="1">
        <f>'O-imap_lo_I1b_histrates_DOY058'!F6-'EMv3_spinangle_O-DOY058_DEs_All'!G6</f>
        <v>1</v>
      </c>
      <c r="G6" s="1">
        <f>'O-imap_lo_I1b_histrates_DOY058'!G6-'EMv3_spinangle_O-DOY058_DEs_All'!H6</f>
        <v>1</v>
      </c>
      <c r="H6" s="1">
        <f>'O-imap_lo_I1b_histrates_DOY058'!H6-'EMv3_spinangle_O-DOY058_DEs_All'!I6</f>
        <v>0</v>
      </c>
    </row>
    <row r="7" spans="1:9" x14ac:dyDescent="0.2">
      <c r="A7">
        <v>3</v>
      </c>
      <c r="B7" s="1">
        <f>'O-imap_lo_I1b_histrates_DOY058'!B7-'EMv3_spinangle_O-DOY058_DEs_All'!C7</f>
        <v>0</v>
      </c>
      <c r="C7" s="1">
        <f>'O-imap_lo_I1b_histrates_DOY058'!C7-'EMv3_spinangle_O-DOY058_DEs_All'!D7</f>
        <v>0</v>
      </c>
      <c r="D7" s="1">
        <f>'O-imap_lo_I1b_histrates_DOY058'!D7-'EMv3_spinangle_O-DOY058_DEs_All'!E7</f>
        <v>0</v>
      </c>
      <c r="E7" s="1">
        <f>'O-imap_lo_I1b_histrates_DOY058'!E7-'EMv3_spinangle_O-DOY058_DEs_All'!F7</f>
        <v>0</v>
      </c>
      <c r="F7" s="1">
        <f>'O-imap_lo_I1b_histrates_DOY058'!F7-'EMv3_spinangle_O-DOY058_DEs_All'!G7</f>
        <v>0</v>
      </c>
      <c r="G7" s="1">
        <f>'O-imap_lo_I1b_histrates_DOY058'!G7-'EMv3_spinangle_O-DOY058_DEs_All'!H7</f>
        <v>1</v>
      </c>
      <c r="H7" s="1">
        <f>'O-imap_lo_I1b_histrates_DOY058'!H7-'EMv3_spinangle_O-DOY058_DEs_All'!I7</f>
        <v>0</v>
      </c>
    </row>
    <row r="8" spans="1:9" x14ac:dyDescent="0.2">
      <c r="A8">
        <v>4</v>
      </c>
      <c r="B8" s="1">
        <f>'O-imap_lo_I1b_histrates_DOY058'!B8-'EMv3_spinangle_O-DOY058_DEs_All'!C8</f>
        <v>0</v>
      </c>
      <c r="C8" s="1">
        <f>'O-imap_lo_I1b_histrates_DOY058'!C8-'EMv3_spinangle_O-DOY058_DEs_All'!D8</f>
        <v>0</v>
      </c>
      <c r="D8" s="1">
        <f>'O-imap_lo_I1b_histrates_DOY058'!D8-'EMv3_spinangle_O-DOY058_DEs_All'!E8</f>
        <v>0</v>
      </c>
      <c r="E8" s="1">
        <f>'O-imap_lo_I1b_histrates_DOY058'!E8-'EMv3_spinangle_O-DOY058_DEs_All'!F8</f>
        <v>0</v>
      </c>
      <c r="F8" s="1">
        <f>'O-imap_lo_I1b_histrates_DOY058'!F8-'EMv3_spinangle_O-DOY058_DEs_All'!G8</f>
        <v>0</v>
      </c>
      <c r="G8" s="1">
        <f>'O-imap_lo_I1b_histrates_DOY058'!G8-'EMv3_spinangle_O-DOY058_DEs_All'!H8</f>
        <v>0</v>
      </c>
      <c r="H8" s="1">
        <f>'O-imap_lo_I1b_histrates_DOY058'!H8-'EMv3_spinangle_O-DOY058_DEs_All'!I8</f>
        <v>0</v>
      </c>
    </row>
    <row r="9" spans="1:9" x14ac:dyDescent="0.2">
      <c r="A9">
        <v>5</v>
      </c>
      <c r="B9" s="1">
        <f>'O-imap_lo_I1b_histrates_DOY058'!B9-'EMv3_spinangle_O-DOY058_DEs_All'!C9</f>
        <v>0</v>
      </c>
      <c r="C9" s="1">
        <f>'O-imap_lo_I1b_histrates_DOY058'!C9-'EMv3_spinangle_O-DOY058_DEs_All'!D9</f>
        <v>0</v>
      </c>
      <c r="D9" s="1">
        <f>'O-imap_lo_I1b_histrates_DOY058'!D9-'EMv3_spinangle_O-DOY058_DEs_All'!E9</f>
        <v>0</v>
      </c>
      <c r="E9" s="1">
        <f>'O-imap_lo_I1b_histrates_DOY058'!E9-'EMv3_spinangle_O-DOY058_DEs_All'!F9</f>
        <v>0</v>
      </c>
      <c r="F9" s="1">
        <f>'O-imap_lo_I1b_histrates_DOY058'!F9-'EMv3_spinangle_O-DOY058_DEs_All'!G9</f>
        <v>1</v>
      </c>
      <c r="G9" s="1">
        <f>'O-imap_lo_I1b_histrates_DOY058'!G9-'EMv3_spinangle_O-DOY058_DEs_All'!H9</f>
        <v>4</v>
      </c>
      <c r="H9" s="1">
        <f>'O-imap_lo_I1b_histrates_DOY058'!H9-'EMv3_spinangle_O-DOY058_DEs_All'!I9</f>
        <v>0</v>
      </c>
    </row>
    <row r="10" spans="1:9" x14ac:dyDescent="0.2">
      <c r="A10">
        <v>6</v>
      </c>
      <c r="B10" s="1">
        <f>'O-imap_lo_I1b_histrates_DOY058'!B10-'EMv3_spinangle_O-DOY058_DEs_All'!C10</f>
        <v>0</v>
      </c>
      <c r="C10" s="1">
        <f>'O-imap_lo_I1b_histrates_DOY058'!C10-'EMv3_spinangle_O-DOY058_DEs_All'!D10</f>
        <v>0</v>
      </c>
      <c r="D10" s="1">
        <f>'O-imap_lo_I1b_histrates_DOY058'!D10-'EMv3_spinangle_O-DOY058_DEs_All'!E10</f>
        <v>0</v>
      </c>
      <c r="E10" s="1">
        <f>'O-imap_lo_I1b_histrates_DOY058'!E10-'EMv3_spinangle_O-DOY058_DEs_All'!F10</f>
        <v>1</v>
      </c>
      <c r="F10" s="1">
        <f>'O-imap_lo_I1b_histrates_DOY058'!F10-'EMv3_spinangle_O-DOY058_DEs_All'!G10</f>
        <v>1</v>
      </c>
      <c r="G10" s="1">
        <f>'O-imap_lo_I1b_histrates_DOY058'!G10-'EMv3_spinangle_O-DOY058_DEs_All'!H10</f>
        <v>0</v>
      </c>
      <c r="H10" s="1">
        <f>'O-imap_lo_I1b_histrates_DOY058'!H10-'EMv3_spinangle_O-DOY058_DEs_All'!I10</f>
        <v>1</v>
      </c>
    </row>
    <row r="11" spans="1:9" x14ac:dyDescent="0.2">
      <c r="A11">
        <v>7</v>
      </c>
      <c r="B11" s="1">
        <f>'O-imap_lo_I1b_histrates_DOY058'!B11-'EMv3_spinangle_O-DOY058_DEs_All'!C11</f>
        <v>0</v>
      </c>
      <c r="C11" s="1">
        <f>'O-imap_lo_I1b_histrates_DOY058'!C11-'EMv3_spinangle_O-DOY058_DEs_All'!D11</f>
        <v>-1</v>
      </c>
      <c r="D11" s="1">
        <f>'O-imap_lo_I1b_histrates_DOY058'!D11-'EMv3_spinangle_O-DOY058_DEs_All'!E11</f>
        <v>-1</v>
      </c>
      <c r="E11" s="1">
        <f>'O-imap_lo_I1b_histrates_DOY058'!E11-'EMv3_spinangle_O-DOY058_DEs_All'!F11</f>
        <v>-1</v>
      </c>
      <c r="F11" s="1">
        <f>'O-imap_lo_I1b_histrates_DOY058'!F11-'EMv3_spinangle_O-DOY058_DEs_All'!G11</f>
        <v>0</v>
      </c>
      <c r="G11" s="1">
        <f>'O-imap_lo_I1b_histrates_DOY058'!G11-'EMv3_spinangle_O-DOY058_DEs_All'!H11</f>
        <v>0</v>
      </c>
      <c r="H11" s="1">
        <f>'O-imap_lo_I1b_histrates_DOY058'!H11-'EMv3_spinangle_O-DOY058_DEs_All'!I11</f>
        <v>0</v>
      </c>
    </row>
    <row r="12" spans="1:9" x14ac:dyDescent="0.2">
      <c r="A12">
        <v>8</v>
      </c>
      <c r="B12" s="1">
        <f>'O-imap_lo_I1b_histrates_DOY058'!B12-'EMv3_spinangle_O-DOY058_DEs_All'!C12</f>
        <v>0</v>
      </c>
      <c r="C12" s="1">
        <f>'O-imap_lo_I1b_histrates_DOY058'!C12-'EMv3_spinangle_O-DOY058_DEs_All'!D12</f>
        <v>-1</v>
      </c>
      <c r="D12" s="1">
        <f>'O-imap_lo_I1b_histrates_DOY058'!D12-'EMv3_spinangle_O-DOY058_DEs_All'!E12</f>
        <v>0</v>
      </c>
      <c r="E12" s="1">
        <f>'O-imap_lo_I1b_histrates_DOY058'!E12-'EMv3_spinangle_O-DOY058_DEs_All'!F12</f>
        <v>0</v>
      </c>
      <c r="F12" s="1">
        <f>'O-imap_lo_I1b_histrates_DOY058'!F12-'EMv3_spinangle_O-DOY058_DEs_All'!G12</f>
        <v>1</v>
      </c>
      <c r="G12" s="1">
        <f>'O-imap_lo_I1b_histrates_DOY058'!G12-'EMv3_spinangle_O-DOY058_DEs_All'!H12</f>
        <v>0</v>
      </c>
      <c r="H12" s="1">
        <f>'O-imap_lo_I1b_histrates_DOY058'!H12-'EMv3_spinangle_O-DOY058_DEs_All'!I12</f>
        <v>0</v>
      </c>
    </row>
    <row r="13" spans="1:9" x14ac:dyDescent="0.2">
      <c r="A13">
        <v>9</v>
      </c>
      <c r="B13" s="1">
        <f>'O-imap_lo_I1b_histrates_DOY058'!B13-'EMv3_spinangle_O-DOY058_DEs_All'!C13</f>
        <v>0</v>
      </c>
      <c r="C13" s="1">
        <f>'O-imap_lo_I1b_histrates_DOY058'!C13-'EMv3_spinangle_O-DOY058_DEs_All'!D13</f>
        <v>-1</v>
      </c>
      <c r="D13" s="1">
        <f>'O-imap_lo_I1b_histrates_DOY058'!D13-'EMv3_spinangle_O-DOY058_DEs_All'!E13</f>
        <v>-1</v>
      </c>
      <c r="E13" s="1">
        <f>'O-imap_lo_I1b_histrates_DOY058'!E13-'EMv3_spinangle_O-DOY058_DEs_All'!F13</f>
        <v>-1</v>
      </c>
      <c r="F13" s="1">
        <f>'O-imap_lo_I1b_histrates_DOY058'!F13-'EMv3_spinangle_O-DOY058_DEs_All'!G13</f>
        <v>0</v>
      </c>
      <c r="G13" s="1">
        <f>'O-imap_lo_I1b_histrates_DOY058'!G13-'EMv3_spinangle_O-DOY058_DEs_All'!H13</f>
        <v>0</v>
      </c>
      <c r="H13" s="1">
        <f>'O-imap_lo_I1b_histrates_DOY058'!H13-'EMv3_spinangle_O-DOY058_DEs_All'!I13</f>
        <v>0</v>
      </c>
    </row>
    <row r="14" spans="1:9" x14ac:dyDescent="0.2">
      <c r="A14">
        <v>10</v>
      </c>
      <c r="B14" s="1">
        <f>'O-imap_lo_I1b_histrates_DOY058'!B14-'EMv3_spinangle_O-DOY058_DEs_All'!C14</f>
        <v>0</v>
      </c>
      <c r="C14" s="1">
        <f>'O-imap_lo_I1b_histrates_DOY058'!C14-'EMv3_spinangle_O-DOY058_DEs_All'!D14</f>
        <v>2</v>
      </c>
      <c r="D14" s="1">
        <f>'O-imap_lo_I1b_histrates_DOY058'!D14-'EMv3_spinangle_O-DOY058_DEs_All'!E14</f>
        <v>3</v>
      </c>
      <c r="E14" s="1">
        <f>'O-imap_lo_I1b_histrates_DOY058'!E14-'EMv3_spinangle_O-DOY058_DEs_All'!F14</f>
        <v>2</v>
      </c>
      <c r="F14" s="1">
        <f>'O-imap_lo_I1b_histrates_DOY058'!F14-'EMv3_spinangle_O-DOY058_DEs_All'!G14</f>
        <v>0</v>
      </c>
      <c r="G14" s="1">
        <f>'O-imap_lo_I1b_histrates_DOY058'!G14-'EMv3_spinangle_O-DOY058_DEs_All'!H14</f>
        <v>0</v>
      </c>
      <c r="H14" s="1">
        <f>'O-imap_lo_I1b_histrates_DOY058'!H14-'EMv3_spinangle_O-DOY058_DEs_All'!I14</f>
        <v>0</v>
      </c>
    </row>
    <row r="15" spans="1:9" x14ac:dyDescent="0.2">
      <c r="A15">
        <v>11</v>
      </c>
      <c r="B15" s="1">
        <f>'O-imap_lo_I1b_histrates_DOY058'!B15-'EMv3_spinangle_O-DOY058_DEs_All'!C15</f>
        <v>4</v>
      </c>
      <c r="C15" s="1">
        <f>'O-imap_lo_I1b_histrates_DOY058'!C15-'EMv3_spinangle_O-DOY058_DEs_All'!D15</f>
        <v>3</v>
      </c>
      <c r="D15" s="1">
        <f>'O-imap_lo_I1b_histrates_DOY058'!D15-'EMv3_spinangle_O-DOY058_DEs_All'!E15</f>
        <v>2</v>
      </c>
      <c r="E15" s="1">
        <f>'O-imap_lo_I1b_histrates_DOY058'!E15-'EMv3_spinangle_O-DOY058_DEs_All'!F15</f>
        <v>2</v>
      </c>
      <c r="F15" s="1">
        <f>'O-imap_lo_I1b_histrates_DOY058'!F15-'EMv3_spinangle_O-DOY058_DEs_All'!G15</f>
        <v>-1</v>
      </c>
      <c r="G15" s="1">
        <f>'O-imap_lo_I1b_histrates_DOY058'!G15-'EMv3_spinangle_O-DOY058_DEs_All'!H15</f>
        <v>-1</v>
      </c>
      <c r="H15" s="1">
        <f>'O-imap_lo_I1b_histrates_DOY058'!H15-'EMv3_spinangle_O-DOY058_DEs_All'!I15</f>
        <v>-1</v>
      </c>
    </row>
    <row r="16" spans="1:9" x14ac:dyDescent="0.2">
      <c r="A16">
        <v>12</v>
      </c>
      <c r="B16" s="1">
        <f>'O-imap_lo_I1b_histrates_DOY058'!B16-'EMv3_spinangle_O-DOY058_DEs_All'!C16</f>
        <v>6</v>
      </c>
      <c r="C16" s="1">
        <f>'O-imap_lo_I1b_histrates_DOY058'!C16-'EMv3_spinangle_O-DOY058_DEs_All'!D16</f>
        <v>11</v>
      </c>
      <c r="D16" s="1">
        <f>'O-imap_lo_I1b_histrates_DOY058'!D16-'EMv3_spinangle_O-DOY058_DEs_All'!E16</f>
        <v>55</v>
      </c>
      <c r="E16" s="1">
        <f>'O-imap_lo_I1b_histrates_DOY058'!E16-'EMv3_spinangle_O-DOY058_DEs_All'!F16</f>
        <v>16</v>
      </c>
      <c r="F16" s="1">
        <f>'O-imap_lo_I1b_histrates_DOY058'!F16-'EMv3_spinangle_O-DOY058_DEs_All'!G16</f>
        <v>0</v>
      </c>
      <c r="G16" s="1">
        <f>'O-imap_lo_I1b_histrates_DOY058'!G16-'EMv3_spinangle_O-DOY058_DEs_All'!H16</f>
        <v>0</v>
      </c>
      <c r="H16" s="1">
        <f>'O-imap_lo_I1b_histrates_DOY058'!H16-'EMv3_spinangle_O-DOY058_DEs_All'!I16</f>
        <v>1</v>
      </c>
    </row>
    <row r="17" spans="1:8" x14ac:dyDescent="0.2">
      <c r="A17">
        <v>13</v>
      </c>
      <c r="B17" s="1">
        <f>'O-imap_lo_I1b_histrates_DOY058'!B17-'EMv3_spinangle_O-DOY058_DEs_All'!C17</f>
        <v>18</v>
      </c>
      <c r="C17" s="1">
        <f>'O-imap_lo_I1b_histrates_DOY058'!C17-'EMv3_spinangle_O-DOY058_DEs_All'!D17</f>
        <v>63</v>
      </c>
      <c r="D17" s="1">
        <f>'O-imap_lo_I1b_histrates_DOY058'!D17-'EMv3_spinangle_O-DOY058_DEs_All'!E17</f>
        <v>141</v>
      </c>
      <c r="E17" s="1">
        <f>'O-imap_lo_I1b_histrates_DOY058'!E17-'EMv3_spinangle_O-DOY058_DEs_All'!F17</f>
        <v>47</v>
      </c>
      <c r="F17" s="1">
        <f>'O-imap_lo_I1b_histrates_DOY058'!F17-'EMv3_spinangle_O-DOY058_DEs_All'!G17</f>
        <v>-2</v>
      </c>
      <c r="G17" s="1">
        <f>'O-imap_lo_I1b_histrates_DOY058'!G17-'EMv3_spinangle_O-DOY058_DEs_All'!H17</f>
        <v>-5</v>
      </c>
      <c r="H17" s="1">
        <f>'O-imap_lo_I1b_histrates_DOY058'!H17-'EMv3_spinangle_O-DOY058_DEs_All'!I17</f>
        <v>-3</v>
      </c>
    </row>
    <row r="18" spans="1:8" x14ac:dyDescent="0.2">
      <c r="A18">
        <v>14</v>
      </c>
      <c r="B18" s="1">
        <f>'O-imap_lo_I1b_histrates_DOY058'!B18-'EMv3_spinangle_O-DOY058_DEs_All'!C18</f>
        <v>21</v>
      </c>
      <c r="C18" s="1">
        <f>'O-imap_lo_I1b_histrates_DOY058'!C18-'EMv3_spinangle_O-DOY058_DEs_All'!D18</f>
        <v>28</v>
      </c>
      <c r="D18" s="1">
        <f>'O-imap_lo_I1b_histrates_DOY058'!D18-'EMv3_spinangle_O-DOY058_DEs_All'!E18</f>
        <v>95</v>
      </c>
      <c r="E18" s="1">
        <f>'O-imap_lo_I1b_histrates_DOY058'!E18-'EMv3_spinangle_O-DOY058_DEs_All'!F18</f>
        <v>101</v>
      </c>
      <c r="F18" s="1">
        <f>'O-imap_lo_I1b_histrates_DOY058'!F18-'EMv3_spinangle_O-DOY058_DEs_All'!G18</f>
        <v>3</v>
      </c>
      <c r="G18" s="1">
        <f>'O-imap_lo_I1b_histrates_DOY058'!G18-'EMv3_spinangle_O-DOY058_DEs_All'!H18</f>
        <v>-1</v>
      </c>
      <c r="H18" s="1">
        <f>'O-imap_lo_I1b_histrates_DOY058'!H18-'EMv3_spinangle_O-DOY058_DEs_All'!I18</f>
        <v>-2</v>
      </c>
    </row>
    <row r="19" spans="1:8" x14ac:dyDescent="0.2">
      <c r="A19">
        <v>15</v>
      </c>
      <c r="B19" s="1">
        <f>'O-imap_lo_I1b_histrates_DOY058'!B19-'EMv3_spinangle_O-DOY058_DEs_All'!C19</f>
        <v>-6</v>
      </c>
      <c r="C19" s="1">
        <f>'O-imap_lo_I1b_histrates_DOY058'!C19-'EMv3_spinangle_O-DOY058_DEs_All'!D19</f>
        <v>4</v>
      </c>
      <c r="D19" s="1">
        <f>'O-imap_lo_I1b_histrates_DOY058'!D19-'EMv3_spinangle_O-DOY058_DEs_All'!E19</f>
        <v>-14</v>
      </c>
      <c r="E19" s="1">
        <f>'O-imap_lo_I1b_histrates_DOY058'!E19-'EMv3_spinangle_O-DOY058_DEs_All'!F19</f>
        <v>-1</v>
      </c>
      <c r="F19" s="1">
        <f>'O-imap_lo_I1b_histrates_DOY058'!F19-'EMv3_spinangle_O-DOY058_DEs_All'!G19</f>
        <v>-4</v>
      </c>
      <c r="G19" s="1">
        <f>'O-imap_lo_I1b_histrates_DOY058'!G19-'EMv3_spinangle_O-DOY058_DEs_All'!H19</f>
        <v>-3</v>
      </c>
      <c r="H19" s="1">
        <f>'O-imap_lo_I1b_histrates_DOY058'!H19-'EMv3_spinangle_O-DOY058_DEs_All'!I19</f>
        <v>-4</v>
      </c>
    </row>
    <row r="20" spans="1:8" x14ac:dyDescent="0.2">
      <c r="A20">
        <v>16</v>
      </c>
      <c r="B20" s="1">
        <f>'O-imap_lo_I1b_histrates_DOY058'!B20-'EMv3_spinangle_O-DOY058_DEs_All'!C20</f>
        <v>1</v>
      </c>
      <c r="C20" s="1">
        <f>'O-imap_lo_I1b_histrates_DOY058'!C20-'EMv3_spinangle_O-DOY058_DEs_All'!D20</f>
        <v>-9</v>
      </c>
      <c r="D20" s="1">
        <f>'O-imap_lo_I1b_histrates_DOY058'!D20-'EMv3_spinangle_O-DOY058_DEs_All'!E20</f>
        <v>-30</v>
      </c>
      <c r="E20" s="1">
        <f>'O-imap_lo_I1b_histrates_DOY058'!E20-'EMv3_spinangle_O-DOY058_DEs_All'!F20</f>
        <v>-5</v>
      </c>
      <c r="F20" s="1">
        <f>'O-imap_lo_I1b_histrates_DOY058'!F20-'EMv3_spinangle_O-DOY058_DEs_All'!G20</f>
        <v>-1</v>
      </c>
      <c r="G20" s="1">
        <f>'O-imap_lo_I1b_histrates_DOY058'!G20-'EMv3_spinangle_O-DOY058_DEs_All'!H20</f>
        <v>0</v>
      </c>
      <c r="H20" s="1">
        <f>'O-imap_lo_I1b_histrates_DOY058'!H20-'EMv3_spinangle_O-DOY058_DEs_All'!I20</f>
        <v>0</v>
      </c>
    </row>
    <row r="21" spans="1:8" x14ac:dyDescent="0.2">
      <c r="A21">
        <v>17</v>
      </c>
      <c r="B21" s="1">
        <f>'O-imap_lo_I1b_histrates_DOY058'!B21-'EMv3_spinangle_O-DOY058_DEs_All'!C21</f>
        <v>-1</v>
      </c>
      <c r="C21" s="1">
        <f>'O-imap_lo_I1b_histrates_DOY058'!C21-'EMv3_spinangle_O-DOY058_DEs_All'!D21</f>
        <v>0</v>
      </c>
      <c r="D21" s="1">
        <f>'O-imap_lo_I1b_histrates_DOY058'!D21-'EMv3_spinangle_O-DOY058_DEs_All'!E21</f>
        <v>-2</v>
      </c>
      <c r="E21" s="1">
        <f>'O-imap_lo_I1b_histrates_DOY058'!E21-'EMv3_spinangle_O-DOY058_DEs_All'!F21</f>
        <v>-3</v>
      </c>
      <c r="F21" s="1">
        <f>'O-imap_lo_I1b_histrates_DOY058'!F21-'EMv3_spinangle_O-DOY058_DEs_All'!G21</f>
        <v>-1</v>
      </c>
      <c r="G21" s="1">
        <f>'O-imap_lo_I1b_histrates_DOY058'!G21-'EMv3_spinangle_O-DOY058_DEs_All'!H21</f>
        <v>-1</v>
      </c>
      <c r="H21" s="1">
        <f>'O-imap_lo_I1b_histrates_DOY058'!H21-'EMv3_spinangle_O-DOY058_DEs_All'!I21</f>
        <v>-1</v>
      </c>
    </row>
    <row r="22" spans="1:8" x14ac:dyDescent="0.2">
      <c r="A22">
        <v>18</v>
      </c>
      <c r="B22" s="1">
        <f>'O-imap_lo_I1b_histrates_DOY058'!B22-'EMv3_spinangle_O-DOY058_DEs_All'!C22</f>
        <v>0</v>
      </c>
      <c r="C22" s="1">
        <f>'O-imap_lo_I1b_histrates_DOY058'!C22-'EMv3_spinangle_O-DOY058_DEs_All'!D22</f>
        <v>1</v>
      </c>
      <c r="D22" s="1">
        <f>'O-imap_lo_I1b_histrates_DOY058'!D22-'EMv3_spinangle_O-DOY058_DEs_All'!E22</f>
        <v>-4</v>
      </c>
      <c r="E22" s="1">
        <f>'O-imap_lo_I1b_histrates_DOY058'!E22-'EMv3_spinangle_O-DOY058_DEs_All'!F22</f>
        <v>-5</v>
      </c>
      <c r="F22" s="1">
        <f>'O-imap_lo_I1b_histrates_DOY058'!F22-'EMv3_spinangle_O-DOY058_DEs_All'!G22</f>
        <v>0</v>
      </c>
      <c r="G22" s="1">
        <f>'O-imap_lo_I1b_histrates_DOY058'!G22-'EMv3_spinangle_O-DOY058_DEs_All'!H22</f>
        <v>0</v>
      </c>
      <c r="H22" s="1">
        <f>'O-imap_lo_I1b_histrates_DOY058'!H22-'EMv3_spinangle_O-DOY058_DEs_All'!I22</f>
        <v>0</v>
      </c>
    </row>
    <row r="23" spans="1:8" x14ac:dyDescent="0.2">
      <c r="A23">
        <v>19</v>
      </c>
      <c r="B23" s="1">
        <f>'O-imap_lo_I1b_histrates_DOY058'!B23-'EMv3_spinangle_O-DOY058_DEs_All'!C23</f>
        <v>1</v>
      </c>
      <c r="C23" s="1">
        <f>'O-imap_lo_I1b_histrates_DOY058'!C23-'EMv3_spinangle_O-DOY058_DEs_All'!D23</f>
        <v>-1</v>
      </c>
      <c r="D23" s="1">
        <f>'O-imap_lo_I1b_histrates_DOY058'!D23-'EMv3_spinangle_O-DOY058_DEs_All'!E23</f>
        <v>-5</v>
      </c>
      <c r="E23" s="1">
        <f>'O-imap_lo_I1b_histrates_DOY058'!E23-'EMv3_spinangle_O-DOY058_DEs_All'!F23</f>
        <v>-4</v>
      </c>
      <c r="F23" s="1">
        <f>'O-imap_lo_I1b_histrates_DOY058'!F23-'EMv3_spinangle_O-DOY058_DEs_All'!G23</f>
        <v>-1</v>
      </c>
      <c r="G23" s="1">
        <f>'O-imap_lo_I1b_histrates_DOY058'!G23-'EMv3_spinangle_O-DOY058_DEs_All'!H23</f>
        <v>-1</v>
      </c>
      <c r="H23" s="1">
        <f>'O-imap_lo_I1b_histrates_DOY058'!H23-'EMv3_spinangle_O-DOY058_DEs_All'!I23</f>
        <v>0</v>
      </c>
    </row>
    <row r="24" spans="1:8" x14ac:dyDescent="0.2">
      <c r="A24">
        <v>20</v>
      </c>
      <c r="B24" s="1">
        <f>'O-imap_lo_I1b_histrates_DOY058'!B24-'EMv3_spinangle_O-DOY058_DEs_All'!C24</f>
        <v>0</v>
      </c>
      <c r="C24" s="1">
        <f>'O-imap_lo_I1b_histrates_DOY058'!C24-'EMv3_spinangle_O-DOY058_DEs_All'!D24</f>
        <v>-3</v>
      </c>
      <c r="D24" s="1">
        <f>'O-imap_lo_I1b_histrates_DOY058'!D24-'EMv3_spinangle_O-DOY058_DEs_All'!E24</f>
        <v>-4</v>
      </c>
      <c r="E24" s="1">
        <f>'O-imap_lo_I1b_histrates_DOY058'!E24-'EMv3_spinangle_O-DOY058_DEs_All'!F24</f>
        <v>-4</v>
      </c>
      <c r="F24" s="1">
        <f>'O-imap_lo_I1b_histrates_DOY058'!F24-'EMv3_spinangle_O-DOY058_DEs_All'!G24</f>
        <v>0</v>
      </c>
      <c r="G24" s="1">
        <f>'O-imap_lo_I1b_histrates_DOY058'!G24-'EMv3_spinangle_O-DOY058_DEs_All'!H24</f>
        <v>0</v>
      </c>
      <c r="H24" s="1">
        <f>'O-imap_lo_I1b_histrates_DOY058'!H24-'EMv3_spinangle_O-DOY058_DEs_All'!I24</f>
        <v>1</v>
      </c>
    </row>
    <row r="25" spans="1:8" x14ac:dyDescent="0.2">
      <c r="A25">
        <v>21</v>
      </c>
      <c r="B25" s="1">
        <f>'O-imap_lo_I1b_histrates_DOY058'!B25-'EMv3_spinangle_O-DOY058_DEs_All'!C25</f>
        <v>-1</v>
      </c>
      <c r="C25" s="1">
        <f>'O-imap_lo_I1b_histrates_DOY058'!C25-'EMv3_spinangle_O-DOY058_DEs_All'!D25</f>
        <v>-2</v>
      </c>
      <c r="D25" s="1">
        <f>'O-imap_lo_I1b_histrates_DOY058'!D25-'EMv3_spinangle_O-DOY058_DEs_All'!E25</f>
        <v>-2</v>
      </c>
      <c r="E25" s="1">
        <f>'O-imap_lo_I1b_histrates_DOY058'!E25-'EMv3_spinangle_O-DOY058_DEs_All'!F25</f>
        <v>-2</v>
      </c>
      <c r="F25" s="1">
        <f>'O-imap_lo_I1b_histrates_DOY058'!F25-'EMv3_spinangle_O-DOY058_DEs_All'!G25</f>
        <v>0</v>
      </c>
      <c r="G25" s="1">
        <f>'O-imap_lo_I1b_histrates_DOY058'!G25-'EMv3_spinangle_O-DOY058_DEs_All'!H25</f>
        <v>0</v>
      </c>
      <c r="H25" s="1">
        <f>'O-imap_lo_I1b_histrates_DOY058'!H25-'EMv3_spinangle_O-DOY058_DEs_All'!I25</f>
        <v>0</v>
      </c>
    </row>
    <row r="26" spans="1:8" x14ac:dyDescent="0.2">
      <c r="A26">
        <v>22</v>
      </c>
      <c r="B26" s="1">
        <f>'O-imap_lo_I1b_histrates_DOY058'!B26-'EMv3_spinangle_O-DOY058_DEs_All'!C26</f>
        <v>1</v>
      </c>
      <c r="C26" s="1">
        <f>'O-imap_lo_I1b_histrates_DOY058'!C26-'EMv3_spinangle_O-DOY058_DEs_All'!D26</f>
        <v>0</v>
      </c>
      <c r="D26" s="1">
        <f>'O-imap_lo_I1b_histrates_DOY058'!D26-'EMv3_spinangle_O-DOY058_DEs_All'!E26</f>
        <v>-1</v>
      </c>
      <c r="E26" s="1">
        <f>'O-imap_lo_I1b_histrates_DOY058'!E26-'EMv3_spinangle_O-DOY058_DEs_All'!F26</f>
        <v>0</v>
      </c>
      <c r="F26" s="1">
        <f>'O-imap_lo_I1b_histrates_DOY058'!F26-'EMv3_spinangle_O-DOY058_DEs_All'!G26</f>
        <v>0</v>
      </c>
      <c r="G26" s="1">
        <f>'O-imap_lo_I1b_histrates_DOY058'!G26-'EMv3_spinangle_O-DOY058_DEs_All'!H26</f>
        <v>0</v>
      </c>
      <c r="H26" s="1">
        <f>'O-imap_lo_I1b_histrates_DOY058'!H26-'EMv3_spinangle_O-DOY058_DEs_All'!I26</f>
        <v>1</v>
      </c>
    </row>
    <row r="27" spans="1:8" x14ac:dyDescent="0.2">
      <c r="A27">
        <v>23</v>
      </c>
      <c r="B27" s="1">
        <f>'O-imap_lo_I1b_histrates_DOY058'!B27-'EMv3_spinangle_O-DOY058_DEs_All'!C27</f>
        <v>-1</v>
      </c>
      <c r="C27" s="1">
        <f>'O-imap_lo_I1b_histrates_DOY058'!C27-'EMv3_spinangle_O-DOY058_DEs_All'!D27</f>
        <v>-2</v>
      </c>
      <c r="D27" s="1">
        <f>'O-imap_lo_I1b_histrates_DOY058'!D27-'EMv3_spinangle_O-DOY058_DEs_All'!E27</f>
        <v>-4</v>
      </c>
      <c r="E27" s="1">
        <f>'O-imap_lo_I1b_histrates_DOY058'!E27-'EMv3_spinangle_O-DOY058_DEs_All'!F27</f>
        <v>-2</v>
      </c>
      <c r="F27" s="1">
        <f>'O-imap_lo_I1b_histrates_DOY058'!F27-'EMv3_spinangle_O-DOY058_DEs_All'!G27</f>
        <v>0</v>
      </c>
      <c r="G27" s="1">
        <f>'O-imap_lo_I1b_histrates_DOY058'!G27-'EMv3_spinangle_O-DOY058_DEs_All'!H27</f>
        <v>1</v>
      </c>
      <c r="H27" s="1">
        <f>'O-imap_lo_I1b_histrates_DOY058'!H27-'EMv3_spinangle_O-DOY058_DEs_All'!I27</f>
        <v>0</v>
      </c>
    </row>
    <row r="28" spans="1:8" x14ac:dyDescent="0.2">
      <c r="A28">
        <v>24</v>
      </c>
      <c r="B28" s="1">
        <f>'O-imap_lo_I1b_histrates_DOY058'!B28-'EMv3_spinangle_O-DOY058_DEs_All'!C28</f>
        <v>0</v>
      </c>
      <c r="C28" s="1">
        <f>'O-imap_lo_I1b_histrates_DOY058'!C28-'EMv3_spinangle_O-DOY058_DEs_All'!D28</f>
        <v>0</v>
      </c>
      <c r="D28" s="1">
        <f>'O-imap_lo_I1b_histrates_DOY058'!D28-'EMv3_spinangle_O-DOY058_DEs_All'!E28</f>
        <v>0</v>
      </c>
      <c r="E28" s="1">
        <f>'O-imap_lo_I1b_histrates_DOY058'!E28-'EMv3_spinangle_O-DOY058_DEs_All'!F28</f>
        <v>0</v>
      </c>
      <c r="F28" s="1">
        <f>'O-imap_lo_I1b_histrates_DOY058'!F28-'EMv3_spinangle_O-DOY058_DEs_All'!G28</f>
        <v>0</v>
      </c>
      <c r="G28" s="1">
        <f>'O-imap_lo_I1b_histrates_DOY058'!G28-'EMv3_spinangle_O-DOY058_DEs_All'!H28</f>
        <v>0</v>
      </c>
      <c r="H28" s="1">
        <f>'O-imap_lo_I1b_histrates_DOY058'!H28-'EMv3_spinangle_O-DOY058_DEs_All'!I28</f>
        <v>0</v>
      </c>
    </row>
    <row r="29" spans="1:8" x14ac:dyDescent="0.2">
      <c r="A29">
        <v>25</v>
      </c>
      <c r="B29" s="1">
        <f>'O-imap_lo_I1b_histrates_DOY058'!B29-'EMv3_spinangle_O-DOY058_DEs_All'!C29</f>
        <v>0</v>
      </c>
      <c r="C29" s="1">
        <f>'O-imap_lo_I1b_histrates_DOY058'!C29-'EMv3_spinangle_O-DOY058_DEs_All'!D29</f>
        <v>0</v>
      </c>
      <c r="D29" s="1">
        <f>'O-imap_lo_I1b_histrates_DOY058'!D29-'EMv3_spinangle_O-DOY058_DEs_All'!E29</f>
        <v>2</v>
      </c>
      <c r="E29" s="1">
        <f>'O-imap_lo_I1b_histrates_DOY058'!E29-'EMv3_spinangle_O-DOY058_DEs_All'!F29</f>
        <v>0</v>
      </c>
      <c r="F29" s="1">
        <f>'O-imap_lo_I1b_histrates_DOY058'!F29-'EMv3_spinangle_O-DOY058_DEs_All'!G29</f>
        <v>0</v>
      </c>
      <c r="G29" s="1">
        <f>'O-imap_lo_I1b_histrates_DOY058'!G29-'EMv3_spinangle_O-DOY058_DEs_All'!H29</f>
        <v>0</v>
      </c>
      <c r="H29" s="1">
        <f>'O-imap_lo_I1b_histrates_DOY058'!H29-'EMv3_spinangle_O-DOY058_DEs_All'!I29</f>
        <v>1</v>
      </c>
    </row>
    <row r="30" spans="1:8" x14ac:dyDescent="0.2">
      <c r="A30">
        <v>26</v>
      </c>
      <c r="B30" s="1">
        <f>'O-imap_lo_I1b_histrates_DOY058'!B30-'EMv3_spinangle_O-DOY058_DEs_All'!C30</f>
        <v>0</v>
      </c>
      <c r="C30" s="1">
        <f>'O-imap_lo_I1b_histrates_DOY058'!C30-'EMv3_spinangle_O-DOY058_DEs_All'!D30</f>
        <v>0</v>
      </c>
      <c r="D30" s="1">
        <f>'O-imap_lo_I1b_histrates_DOY058'!D30-'EMv3_spinangle_O-DOY058_DEs_All'!E30</f>
        <v>0</v>
      </c>
      <c r="E30" s="1">
        <f>'O-imap_lo_I1b_histrates_DOY058'!E30-'EMv3_spinangle_O-DOY058_DEs_All'!F30</f>
        <v>0</v>
      </c>
      <c r="F30" s="1">
        <f>'O-imap_lo_I1b_histrates_DOY058'!F30-'EMv3_spinangle_O-DOY058_DEs_All'!G30</f>
        <v>0</v>
      </c>
      <c r="G30" s="1">
        <f>'O-imap_lo_I1b_histrates_DOY058'!G30-'EMv3_spinangle_O-DOY058_DEs_All'!H30</f>
        <v>0</v>
      </c>
      <c r="H30" s="1">
        <f>'O-imap_lo_I1b_histrates_DOY058'!H30-'EMv3_spinangle_O-DOY058_DEs_All'!I30</f>
        <v>0</v>
      </c>
    </row>
    <row r="31" spans="1:8" x14ac:dyDescent="0.2">
      <c r="A31">
        <v>27</v>
      </c>
      <c r="B31" s="1">
        <f>'O-imap_lo_I1b_histrates_DOY058'!B31-'EMv3_spinangle_O-DOY058_DEs_All'!C31</f>
        <v>0</v>
      </c>
      <c r="C31" s="1">
        <f>'O-imap_lo_I1b_histrates_DOY058'!C31-'EMv3_spinangle_O-DOY058_DEs_All'!D31</f>
        <v>0</v>
      </c>
      <c r="D31" s="1">
        <f>'O-imap_lo_I1b_histrates_DOY058'!D31-'EMv3_spinangle_O-DOY058_DEs_All'!E31</f>
        <v>0</v>
      </c>
      <c r="E31" s="1">
        <f>'O-imap_lo_I1b_histrates_DOY058'!E31-'EMv3_spinangle_O-DOY058_DEs_All'!F31</f>
        <v>0</v>
      </c>
      <c r="F31" s="1">
        <f>'O-imap_lo_I1b_histrates_DOY058'!F31-'EMv3_spinangle_O-DOY058_DEs_All'!G31</f>
        <v>0</v>
      </c>
      <c r="G31" s="1">
        <f>'O-imap_lo_I1b_histrates_DOY058'!G31-'EMv3_spinangle_O-DOY058_DEs_All'!H31</f>
        <v>0</v>
      </c>
      <c r="H31" s="1">
        <f>'O-imap_lo_I1b_histrates_DOY058'!H31-'EMv3_spinangle_O-DOY058_DEs_All'!I31</f>
        <v>0</v>
      </c>
    </row>
    <row r="32" spans="1:8" x14ac:dyDescent="0.2">
      <c r="A32">
        <v>28</v>
      </c>
      <c r="B32" s="1">
        <f>'O-imap_lo_I1b_histrates_DOY058'!B32-'EMv3_spinangle_O-DOY058_DEs_All'!C32</f>
        <v>0</v>
      </c>
      <c r="C32" s="1">
        <f>'O-imap_lo_I1b_histrates_DOY058'!C32-'EMv3_spinangle_O-DOY058_DEs_All'!D32</f>
        <v>0</v>
      </c>
      <c r="D32" s="1">
        <f>'O-imap_lo_I1b_histrates_DOY058'!D32-'EMv3_spinangle_O-DOY058_DEs_All'!E32</f>
        <v>0</v>
      </c>
      <c r="E32" s="1">
        <f>'O-imap_lo_I1b_histrates_DOY058'!E32-'EMv3_spinangle_O-DOY058_DEs_All'!F32</f>
        <v>0</v>
      </c>
      <c r="F32" s="1">
        <f>'O-imap_lo_I1b_histrates_DOY058'!F32-'EMv3_spinangle_O-DOY058_DEs_All'!G32</f>
        <v>0</v>
      </c>
      <c r="G32" s="1">
        <f>'O-imap_lo_I1b_histrates_DOY058'!G32-'EMv3_spinangle_O-DOY058_DEs_All'!H32</f>
        <v>1</v>
      </c>
      <c r="H32" s="1">
        <f>'O-imap_lo_I1b_histrates_DOY058'!H32-'EMv3_spinangle_O-DOY058_DEs_All'!I32</f>
        <v>0</v>
      </c>
    </row>
    <row r="33" spans="1:8" x14ac:dyDescent="0.2">
      <c r="A33">
        <v>29</v>
      </c>
      <c r="B33" s="1">
        <f>'O-imap_lo_I1b_histrates_DOY058'!B33-'EMv3_spinangle_O-DOY058_DEs_All'!C33</f>
        <v>0</v>
      </c>
      <c r="C33" s="1">
        <f>'O-imap_lo_I1b_histrates_DOY058'!C33-'EMv3_spinangle_O-DOY058_DEs_All'!D33</f>
        <v>0</v>
      </c>
      <c r="D33" s="1">
        <f>'O-imap_lo_I1b_histrates_DOY058'!D33-'EMv3_spinangle_O-DOY058_DEs_All'!E33</f>
        <v>0</v>
      </c>
      <c r="E33" s="1">
        <f>'O-imap_lo_I1b_histrates_DOY058'!E33-'EMv3_spinangle_O-DOY058_DEs_All'!F33</f>
        <v>0</v>
      </c>
      <c r="F33" s="1">
        <f>'O-imap_lo_I1b_histrates_DOY058'!F33-'EMv3_spinangle_O-DOY058_DEs_All'!G33</f>
        <v>0</v>
      </c>
      <c r="G33" s="1">
        <f>'O-imap_lo_I1b_histrates_DOY058'!G33-'EMv3_spinangle_O-DOY058_DEs_All'!H33</f>
        <v>0</v>
      </c>
      <c r="H33" s="1">
        <f>'O-imap_lo_I1b_histrates_DOY058'!H33-'EMv3_spinangle_O-DOY058_DEs_All'!I33</f>
        <v>1</v>
      </c>
    </row>
    <row r="34" spans="1:8" x14ac:dyDescent="0.2">
      <c r="A34">
        <v>30</v>
      </c>
      <c r="B34" s="1">
        <f>'O-imap_lo_I1b_histrates_DOY058'!B34-'EMv3_spinangle_O-DOY058_DEs_All'!C34</f>
        <v>0</v>
      </c>
      <c r="C34" s="1">
        <f>'O-imap_lo_I1b_histrates_DOY058'!C34-'EMv3_spinangle_O-DOY058_DEs_All'!D34</f>
        <v>0</v>
      </c>
      <c r="D34" s="1">
        <f>'O-imap_lo_I1b_histrates_DOY058'!D34-'EMv3_spinangle_O-DOY058_DEs_All'!E34</f>
        <v>2</v>
      </c>
      <c r="E34" s="1">
        <f>'O-imap_lo_I1b_histrates_DOY058'!E34-'EMv3_spinangle_O-DOY058_DEs_All'!F34</f>
        <v>0</v>
      </c>
      <c r="F34" s="1">
        <f>'O-imap_lo_I1b_histrates_DOY058'!F34-'EMv3_spinangle_O-DOY058_DEs_All'!G34</f>
        <v>0</v>
      </c>
      <c r="G34" s="1">
        <f>'O-imap_lo_I1b_histrates_DOY058'!G34-'EMv3_spinangle_O-DOY058_DEs_All'!H34</f>
        <v>0</v>
      </c>
      <c r="H34" s="1">
        <f>'O-imap_lo_I1b_histrates_DOY058'!H34-'EMv3_spinangle_O-DOY058_DEs_All'!I34</f>
        <v>0</v>
      </c>
    </row>
    <row r="35" spans="1:8" x14ac:dyDescent="0.2">
      <c r="A35">
        <v>31</v>
      </c>
      <c r="B35" s="1">
        <f>'O-imap_lo_I1b_histrates_DOY058'!B35-'EMv3_spinangle_O-DOY058_DEs_All'!C35</f>
        <v>0</v>
      </c>
      <c r="C35" s="1">
        <f>'O-imap_lo_I1b_histrates_DOY058'!C35-'EMv3_spinangle_O-DOY058_DEs_All'!D35</f>
        <v>-1</v>
      </c>
      <c r="D35" s="1">
        <f>'O-imap_lo_I1b_histrates_DOY058'!D35-'EMv3_spinangle_O-DOY058_DEs_All'!E35</f>
        <v>-1</v>
      </c>
      <c r="E35" s="1">
        <f>'O-imap_lo_I1b_histrates_DOY058'!E35-'EMv3_spinangle_O-DOY058_DEs_All'!F35</f>
        <v>0</v>
      </c>
      <c r="F35" s="1">
        <f>'O-imap_lo_I1b_histrates_DOY058'!F35-'EMv3_spinangle_O-DOY058_DEs_All'!G35</f>
        <v>0</v>
      </c>
      <c r="G35" s="1">
        <f>'O-imap_lo_I1b_histrates_DOY058'!G35-'EMv3_spinangle_O-DOY058_DEs_All'!H35</f>
        <v>0</v>
      </c>
      <c r="H35" s="1">
        <f>'O-imap_lo_I1b_histrates_DOY058'!H35-'EMv3_spinangle_O-DOY058_DEs_All'!I35</f>
        <v>0</v>
      </c>
    </row>
    <row r="36" spans="1:8" x14ac:dyDescent="0.2">
      <c r="A36">
        <v>32</v>
      </c>
      <c r="B36" s="1">
        <f>'O-imap_lo_I1b_histrates_DOY058'!B36-'EMv3_spinangle_O-DOY058_DEs_All'!C36</f>
        <v>0</v>
      </c>
      <c r="C36" s="1">
        <f>'O-imap_lo_I1b_histrates_DOY058'!C36-'EMv3_spinangle_O-DOY058_DEs_All'!D36</f>
        <v>0</v>
      </c>
      <c r="D36" s="1">
        <f>'O-imap_lo_I1b_histrates_DOY058'!D36-'EMv3_spinangle_O-DOY058_DEs_All'!E36</f>
        <v>0</v>
      </c>
      <c r="E36" s="1">
        <f>'O-imap_lo_I1b_histrates_DOY058'!E36-'EMv3_spinangle_O-DOY058_DEs_All'!F36</f>
        <v>0</v>
      </c>
      <c r="F36" s="1">
        <f>'O-imap_lo_I1b_histrates_DOY058'!F36-'EMv3_spinangle_O-DOY058_DEs_All'!G36</f>
        <v>1</v>
      </c>
      <c r="G36" s="1">
        <f>'O-imap_lo_I1b_histrates_DOY058'!G36-'EMv3_spinangle_O-DOY058_DEs_All'!H36</f>
        <v>0</v>
      </c>
      <c r="H36" s="1">
        <f>'O-imap_lo_I1b_histrates_DOY058'!H36-'EMv3_spinangle_O-DOY058_DEs_All'!I36</f>
        <v>0</v>
      </c>
    </row>
    <row r="37" spans="1:8" x14ac:dyDescent="0.2">
      <c r="A37">
        <v>33</v>
      </c>
      <c r="B37" s="1">
        <f>'O-imap_lo_I1b_histrates_DOY058'!B37-'EMv3_spinangle_O-DOY058_DEs_All'!C37</f>
        <v>0</v>
      </c>
      <c r="C37" s="1">
        <f>'O-imap_lo_I1b_histrates_DOY058'!C37-'EMv3_spinangle_O-DOY058_DEs_All'!D37</f>
        <v>0</v>
      </c>
      <c r="D37" s="1">
        <f>'O-imap_lo_I1b_histrates_DOY058'!D37-'EMv3_spinangle_O-DOY058_DEs_All'!E37</f>
        <v>0</v>
      </c>
      <c r="E37" s="1">
        <f>'O-imap_lo_I1b_histrates_DOY058'!E37-'EMv3_spinangle_O-DOY058_DEs_All'!F37</f>
        <v>0</v>
      </c>
      <c r="F37" s="1">
        <f>'O-imap_lo_I1b_histrates_DOY058'!F37-'EMv3_spinangle_O-DOY058_DEs_All'!G37</f>
        <v>0</v>
      </c>
      <c r="G37" s="1">
        <f>'O-imap_lo_I1b_histrates_DOY058'!G37-'EMv3_spinangle_O-DOY058_DEs_All'!H37</f>
        <v>0</v>
      </c>
      <c r="H37" s="1">
        <f>'O-imap_lo_I1b_histrates_DOY058'!H37-'EMv3_spinangle_O-DOY058_DEs_All'!I37</f>
        <v>2</v>
      </c>
    </row>
    <row r="38" spans="1:8" x14ac:dyDescent="0.2">
      <c r="A38">
        <v>34</v>
      </c>
      <c r="B38" s="1">
        <f>'O-imap_lo_I1b_histrates_DOY058'!B38-'EMv3_spinangle_O-DOY058_DEs_All'!C38</f>
        <v>0</v>
      </c>
      <c r="C38" s="1">
        <f>'O-imap_lo_I1b_histrates_DOY058'!C38-'EMv3_spinangle_O-DOY058_DEs_All'!D38</f>
        <v>0</v>
      </c>
      <c r="D38" s="1">
        <f>'O-imap_lo_I1b_histrates_DOY058'!D38-'EMv3_spinangle_O-DOY058_DEs_All'!E38</f>
        <v>0</v>
      </c>
      <c r="E38" s="1">
        <f>'O-imap_lo_I1b_histrates_DOY058'!E38-'EMv3_spinangle_O-DOY058_DEs_All'!F38</f>
        <v>0</v>
      </c>
      <c r="F38" s="1">
        <f>'O-imap_lo_I1b_histrates_DOY058'!F38-'EMv3_spinangle_O-DOY058_DEs_All'!G38</f>
        <v>1</v>
      </c>
      <c r="G38" s="1">
        <f>'O-imap_lo_I1b_histrates_DOY058'!G38-'EMv3_spinangle_O-DOY058_DEs_All'!H38</f>
        <v>0</v>
      </c>
      <c r="H38" s="1">
        <f>'O-imap_lo_I1b_histrates_DOY058'!H38-'EMv3_spinangle_O-DOY058_DEs_All'!I38</f>
        <v>0</v>
      </c>
    </row>
    <row r="39" spans="1:8" x14ac:dyDescent="0.2">
      <c r="A39">
        <v>35</v>
      </c>
      <c r="B39" s="1">
        <f>'O-imap_lo_I1b_histrates_DOY058'!B39-'EMv3_spinangle_O-DOY058_DEs_All'!C39</f>
        <v>0</v>
      </c>
      <c r="C39" s="1">
        <f>'O-imap_lo_I1b_histrates_DOY058'!C39-'EMv3_spinangle_O-DOY058_DEs_All'!D39</f>
        <v>0</v>
      </c>
      <c r="D39" s="1">
        <f>'O-imap_lo_I1b_histrates_DOY058'!D39-'EMv3_spinangle_O-DOY058_DEs_All'!E39</f>
        <v>0</v>
      </c>
      <c r="E39" s="1">
        <f>'O-imap_lo_I1b_histrates_DOY058'!E39-'EMv3_spinangle_O-DOY058_DEs_All'!F39</f>
        <v>0</v>
      </c>
      <c r="F39" s="1">
        <f>'O-imap_lo_I1b_histrates_DOY058'!F39-'EMv3_spinangle_O-DOY058_DEs_All'!G39</f>
        <v>1</v>
      </c>
      <c r="G39" s="1">
        <f>'O-imap_lo_I1b_histrates_DOY058'!G39-'EMv3_spinangle_O-DOY058_DEs_All'!H39</f>
        <v>0</v>
      </c>
      <c r="H39" s="1">
        <f>'O-imap_lo_I1b_histrates_DOY058'!H39-'EMv3_spinangle_O-DOY058_DEs_All'!I39</f>
        <v>1</v>
      </c>
    </row>
    <row r="40" spans="1:8" x14ac:dyDescent="0.2">
      <c r="A40">
        <v>36</v>
      </c>
      <c r="B40" s="1">
        <f>'O-imap_lo_I1b_histrates_DOY058'!B40-'EMv3_spinangle_O-DOY058_DEs_All'!C40</f>
        <v>0</v>
      </c>
      <c r="C40" s="1">
        <f>'O-imap_lo_I1b_histrates_DOY058'!C40-'EMv3_spinangle_O-DOY058_DEs_All'!D40</f>
        <v>1</v>
      </c>
      <c r="D40" s="1">
        <f>'O-imap_lo_I1b_histrates_DOY058'!D40-'EMv3_spinangle_O-DOY058_DEs_All'!E40</f>
        <v>0</v>
      </c>
      <c r="E40" s="1">
        <f>'O-imap_lo_I1b_histrates_DOY058'!E40-'EMv3_spinangle_O-DOY058_DEs_All'!F40</f>
        <v>0</v>
      </c>
      <c r="F40" s="1">
        <f>'O-imap_lo_I1b_histrates_DOY058'!F40-'EMv3_spinangle_O-DOY058_DEs_All'!G40</f>
        <v>1</v>
      </c>
      <c r="G40" s="1">
        <f>'O-imap_lo_I1b_histrates_DOY058'!G40-'EMv3_spinangle_O-DOY058_DEs_All'!H40</f>
        <v>0</v>
      </c>
      <c r="H40" s="1">
        <f>'O-imap_lo_I1b_histrates_DOY058'!H40-'EMv3_spinangle_O-DOY058_DEs_All'!I40</f>
        <v>0</v>
      </c>
    </row>
    <row r="41" spans="1:8" x14ac:dyDescent="0.2">
      <c r="A41">
        <v>37</v>
      </c>
      <c r="B41" s="1">
        <f>'O-imap_lo_I1b_histrates_DOY058'!B41-'EMv3_spinangle_O-DOY058_DEs_All'!C41</f>
        <v>0</v>
      </c>
      <c r="C41" s="1">
        <f>'O-imap_lo_I1b_histrates_DOY058'!C41-'EMv3_spinangle_O-DOY058_DEs_All'!D41</f>
        <v>0</v>
      </c>
      <c r="D41" s="1">
        <f>'O-imap_lo_I1b_histrates_DOY058'!D41-'EMv3_spinangle_O-DOY058_DEs_All'!E41</f>
        <v>0</v>
      </c>
      <c r="E41" s="1">
        <f>'O-imap_lo_I1b_histrates_DOY058'!E41-'EMv3_spinangle_O-DOY058_DEs_All'!F41</f>
        <v>2</v>
      </c>
      <c r="F41" s="1">
        <f>'O-imap_lo_I1b_histrates_DOY058'!F41-'EMv3_spinangle_O-DOY058_DEs_All'!G41</f>
        <v>0</v>
      </c>
      <c r="G41" s="1">
        <f>'O-imap_lo_I1b_histrates_DOY058'!G41-'EMv3_spinangle_O-DOY058_DEs_All'!H41</f>
        <v>0</v>
      </c>
      <c r="H41" s="1">
        <f>'O-imap_lo_I1b_histrates_DOY058'!H41-'EMv3_spinangle_O-DOY058_DEs_All'!I41</f>
        <v>0</v>
      </c>
    </row>
    <row r="42" spans="1:8" x14ac:dyDescent="0.2">
      <c r="A42">
        <v>38</v>
      </c>
      <c r="B42" s="1">
        <f>'O-imap_lo_I1b_histrates_DOY058'!B42-'EMv3_spinangle_O-DOY058_DEs_All'!C42</f>
        <v>0</v>
      </c>
      <c r="C42" s="1">
        <f>'O-imap_lo_I1b_histrates_DOY058'!C42-'EMv3_spinangle_O-DOY058_DEs_All'!D42</f>
        <v>0</v>
      </c>
      <c r="D42" s="1">
        <f>'O-imap_lo_I1b_histrates_DOY058'!D42-'EMv3_spinangle_O-DOY058_DEs_All'!E42</f>
        <v>0</v>
      </c>
      <c r="E42" s="1">
        <f>'O-imap_lo_I1b_histrates_DOY058'!E42-'EMv3_spinangle_O-DOY058_DEs_All'!F42</f>
        <v>0</v>
      </c>
      <c r="F42" s="1">
        <f>'O-imap_lo_I1b_histrates_DOY058'!F42-'EMv3_spinangle_O-DOY058_DEs_All'!G42</f>
        <v>0</v>
      </c>
      <c r="G42" s="1">
        <f>'O-imap_lo_I1b_histrates_DOY058'!G42-'EMv3_spinangle_O-DOY058_DEs_All'!H42</f>
        <v>0</v>
      </c>
      <c r="H42" s="1">
        <f>'O-imap_lo_I1b_histrates_DOY058'!H42-'EMv3_spinangle_O-DOY058_DEs_All'!I42</f>
        <v>0</v>
      </c>
    </row>
    <row r="43" spans="1:8" x14ac:dyDescent="0.2">
      <c r="A43">
        <v>39</v>
      </c>
      <c r="B43" s="1">
        <f>'O-imap_lo_I1b_histrates_DOY058'!B43-'EMv3_spinangle_O-DOY058_DEs_All'!C43</f>
        <v>0</v>
      </c>
      <c r="C43" s="1">
        <f>'O-imap_lo_I1b_histrates_DOY058'!C43-'EMv3_spinangle_O-DOY058_DEs_All'!D43</f>
        <v>0</v>
      </c>
      <c r="D43" s="1">
        <f>'O-imap_lo_I1b_histrates_DOY058'!D43-'EMv3_spinangle_O-DOY058_DEs_All'!E43</f>
        <v>0</v>
      </c>
      <c r="E43" s="1">
        <f>'O-imap_lo_I1b_histrates_DOY058'!E43-'EMv3_spinangle_O-DOY058_DEs_All'!F43</f>
        <v>0</v>
      </c>
      <c r="F43" s="1">
        <f>'O-imap_lo_I1b_histrates_DOY058'!F43-'EMv3_spinangle_O-DOY058_DEs_All'!G43</f>
        <v>0</v>
      </c>
      <c r="G43" s="1">
        <f>'O-imap_lo_I1b_histrates_DOY058'!G43-'EMv3_spinangle_O-DOY058_DEs_All'!H43</f>
        <v>1</v>
      </c>
      <c r="H43" s="1">
        <f>'O-imap_lo_I1b_histrates_DOY058'!H43-'EMv3_spinangle_O-DOY058_DEs_All'!I43</f>
        <v>2</v>
      </c>
    </row>
    <row r="44" spans="1:8" x14ac:dyDescent="0.2">
      <c r="A44">
        <v>40</v>
      </c>
      <c r="B44" s="1">
        <f>'O-imap_lo_I1b_histrates_DOY058'!B44-'EMv3_spinangle_O-DOY058_DEs_All'!C44</f>
        <v>0</v>
      </c>
      <c r="C44" s="1">
        <f>'O-imap_lo_I1b_histrates_DOY058'!C44-'EMv3_spinangle_O-DOY058_DEs_All'!D44</f>
        <v>0</v>
      </c>
      <c r="D44" s="1">
        <f>'O-imap_lo_I1b_histrates_DOY058'!D44-'EMv3_spinangle_O-DOY058_DEs_All'!E44</f>
        <v>0</v>
      </c>
      <c r="E44" s="1">
        <f>'O-imap_lo_I1b_histrates_DOY058'!E44-'EMv3_spinangle_O-DOY058_DEs_All'!F44</f>
        <v>1</v>
      </c>
      <c r="F44" s="1">
        <f>'O-imap_lo_I1b_histrates_DOY058'!F44-'EMv3_spinangle_O-DOY058_DEs_All'!G44</f>
        <v>1</v>
      </c>
      <c r="G44" s="1">
        <f>'O-imap_lo_I1b_histrates_DOY058'!G44-'EMv3_spinangle_O-DOY058_DEs_All'!H44</f>
        <v>0</v>
      </c>
      <c r="H44" s="1">
        <f>'O-imap_lo_I1b_histrates_DOY058'!H44-'EMv3_spinangle_O-DOY058_DEs_All'!I44</f>
        <v>0</v>
      </c>
    </row>
    <row r="45" spans="1:8" x14ac:dyDescent="0.2">
      <c r="A45">
        <v>41</v>
      </c>
      <c r="B45" s="1">
        <f>'O-imap_lo_I1b_histrates_DOY058'!B45-'EMv3_spinangle_O-DOY058_DEs_All'!C45</f>
        <v>0</v>
      </c>
      <c r="C45" s="1">
        <f>'O-imap_lo_I1b_histrates_DOY058'!C45-'EMv3_spinangle_O-DOY058_DEs_All'!D45</f>
        <v>0</v>
      </c>
      <c r="D45" s="1">
        <f>'O-imap_lo_I1b_histrates_DOY058'!D45-'EMv3_spinangle_O-DOY058_DEs_All'!E45</f>
        <v>0</v>
      </c>
      <c r="E45" s="1">
        <f>'O-imap_lo_I1b_histrates_DOY058'!E45-'EMv3_spinangle_O-DOY058_DEs_All'!F45</f>
        <v>0</v>
      </c>
      <c r="F45" s="1">
        <f>'O-imap_lo_I1b_histrates_DOY058'!F45-'EMv3_spinangle_O-DOY058_DEs_All'!G45</f>
        <v>0</v>
      </c>
      <c r="G45" s="1">
        <f>'O-imap_lo_I1b_histrates_DOY058'!G45-'EMv3_spinangle_O-DOY058_DEs_All'!H45</f>
        <v>0</v>
      </c>
      <c r="H45" s="1">
        <f>'O-imap_lo_I1b_histrates_DOY058'!H45-'EMv3_spinangle_O-DOY058_DEs_All'!I45</f>
        <v>1</v>
      </c>
    </row>
    <row r="46" spans="1:8" x14ac:dyDescent="0.2">
      <c r="A46">
        <v>42</v>
      </c>
      <c r="B46" s="1">
        <f>'O-imap_lo_I1b_histrates_DOY058'!B46-'EMv3_spinangle_O-DOY058_DEs_All'!C46</f>
        <v>0</v>
      </c>
      <c r="C46" s="1">
        <f>'O-imap_lo_I1b_histrates_DOY058'!C46-'EMv3_spinangle_O-DOY058_DEs_All'!D46</f>
        <v>1</v>
      </c>
      <c r="D46" s="1">
        <f>'O-imap_lo_I1b_histrates_DOY058'!D46-'EMv3_spinangle_O-DOY058_DEs_All'!E46</f>
        <v>-1</v>
      </c>
      <c r="E46" s="1">
        <f>'O-imap_lo_I1b_histrates_DOY058'!E46-'EMv3_spinangle_O-DOY058_DEs_All'!F46</f>
        <v>-1</v>
      </c>
      <c r="F46" s="1">
        <f>'O-imap_lo_I1b_histrates_DOY058'!F46-'EMv3_spinangle_O-DOY058_DEs_All'!G46</f>
        <v>0</v>
      </c>
      <c r="G46" s="1">
        <f>'O-imap_lo_I1b_histrates_DOY058'!G46-'EMv3_spinangle_O-DOY058_DEs_All'!H46</f>
        <v>0</v>
      </c>
      <c r="H46" s="1">
        <f>'O-imap_lo_I1b_histrates_DOY058'!H46-'EMv3_spinangle_O-DOY058_DEs_All'!I46</f>
        <v>0</v>
      </c>
    </row>
    <row r="47" spans="1:8" x14ac:dyDescent="0.2">
      <c r="A47">
        <v>43</v>
      </c>
      <c r="B47" s="1">
        <f>'O-imap_lo_I1b_histrates_DOY058'!B47-'EMv3_spinangle_O-DOY058_DEs_All'!C47</f>
        <v>0</v>
      </c>
      <c r="C47" s="1">
        <f>'O-imap_lo_I1b_histrates_DOY058'!C47-'EMv3_spinangle_O-DOY058_DEs_All'!D47</f>
        <v>0</v>
      </c>
      <c r="D47" s="1">
        <f>'O-imap_lo_I1b_histrates_DOY058'!D47-'EMv3_spinangle_O-DOY058_DEs_All'!E47</f>
        <v>0</v>
      </c>
      <c r="E47" s="1">
        <f>'O-imap_lo_I1b_histrates_DOY058'!E47-'EMv3_spinangle_O-DOY058_DEs_All'!F47</f>
        <v>0</v>
      </c>
      <c r="F47" s="1">
        <f>'O-imap_lo_I1b_histrates_DOY058'!F47-'EMv3_spinangle_O-DOY058_DEs_All'!G47</f>
        <v>1</v>
      </c>
      <c r="G47" s="1">
        <f>'O-imap_lo_I1b_histrates_DOY058'!G47-'EMv3_spinangle_O-DOY058_DEs_All'!H47</f>
        <v>0</v>
      </c>
      <c r="H47" s="1">
        <f>'O-imap_lo_I1b_histrates_DOY058'!H47-'EMv3_spinangle_O-DOY058_DEs_All'!I47</f>
        <v>0</v>
      </c>
    </row>
    <row r="48" spans="1:8" x14ac:dyDescent="0.2">
      <c r="A48">
        <v>44</v>
      </c>
      <c r="B48" s="1">
        <f>'O-imap_lo_I1b_histrates_DOY058'!B48-'EMv3_spinangle_O-DOY058_DEs_All'!C48</f>
        <v>0</v>
      </c>
      <c r="C48" s="1">
        <f>'O-imap_lo_I1b_histrates_DOY058'!C48-'EMv3_spinangle_O-DOY058_DEs_All'!D48</f>
        <v>0</v>
      </c>
      <c r="D48" s="1">
        <f>'O-imap_lo_I1b_histrates_DOY058'!D48-'EMv3_spinangle_O-DOY058_DEs_All'!E48</f>
        <v>0</v>
      </c>
      <c r="E48" s="1">
        <f>'O-imap_lo_I1b_histrates_DOY058'!E48-'EMv3_spinangle_O-DOY058_DEs_All'!F48</f>
        <v>1</v>
      </c>
      <c r="F48" s="1">
        <f>'O-imap_lo_I1b_histrates_DOY058'!F48-'EMv3_spinangle_O-DOY058_DEs_All'!G48</f>
        <v>0</v>
      </c>
      <c r="G48" s="1">
        <f>'O-imap_lo_I1b_histrates_DOY058'!G48-'EMv3_spinangle_O-DOY058_DEs_All'!H48</f>
        <v>0</v>
      </c>
      <c r="H48" s="1">
        <f>'O-imap_lo_I1b_histrates_DOY058'!H48-'EMv3_spinangle_O-DOY058_DEs_All'!I48</f>
        <v>0</v>
      </c>
    </row>
    <row r="49" spans="1:8" x14ac:dyDescent="0.2">
      <c r="A49">
        <v>45</v>
      </c>
      <c r="B49" s="1">
        <f>'O-imap_lo_I1b_histrates_DOY058'!B49-'EMv3_spinangle_O-DOY058_DEs_All'!C49</f>
        <v>0</v>
      </c>
      <c r="C49" s="1">
        <f>'O-imap_lo_I1b_histrates_DOY058'!C49-'EMv3_spinangle_O-DOY058_DEs_All'!D49</f>
        <v>0</v>
      </c>
      <c r="D49" s="1">
        <f>'O-imap_lo_I1b_histrates_DOY058'!D49-'EMv3_spinangle_O-DOY058_DEs_All'!E49</f>
        <v>0</v>
      </c>
      <c r="E49" s="1">
        <f>'O-imap_lo_I1b_histrates_DOY058'!E49-'EMv3_spinangle_O-DOY058_DEs_All'!F49</f>
        <v>0</v>
      </c>
      <c r="F49" s="1">
        <f>'O-imap_lo_I1b_histrates_DOY058'!F49-'EMv3_spinangle_O-DOY058_DEs_All'!G49</f>
        <v>1</v>
      </c>
      <c r="G49" s="1">
        <f>'O-imap_lo_I1b_histrates_DOY058'!G49-'EMv3_spinangle_O-DOY058_DEs_All'!H49</f>
        <v>0</v>
      </c>
      <c r="H49" s="1">
        <f>'O-imap_lo_I1b_histrates_DOY058'!H49-'EMv3_spinangle_O-DOY058_DEs_All'!I49</f>
        <v>0</v>
      </c>
    </row>
    <row r="50" spans="1:8" x14ac:dyDescent="0.2">
      <c r="A50">
        <v>46</v>
      </c>
      <c r="B50" s="1">
        <f>'O-imap_lo_I1b_histrates_DOY058'!B50-'EMv3_spinangle_O-DOY058_DEs_All'!C50</f>
        <v>0</v>
      </c>
      <c r="C50" s="1">
        <f>'O-imap_lo_I1b_histrates_DOY058'!C50-'EMv3_spinangle_O-DOY058_DEs_All'!D50</f>
        <v>0</v>
      </c>
      <c r="D50" s="1">
        <f>'O-imap_lo_I1b_histrates_DOY058'!D50-'EMv3_spinangle_O-DOY058_DEs_All'!E50</f>
        <v>0</v>
      </c>
      <c r="E50" s="1">
        <f>'O-imap_lo_I1b_histrates_DOY058'!E50-'EMv3_spinangle_O-DOY058_DEs_All'!F50</f>
        <v>0</v>
      </c>
      <c r="F50" s="1">
        <f>'O-imap_lo_I1b_histrates_DOY058'!F50-'EMv3_spinangle_O-DOY058_DEs_All'!G50</f>
        <v>0</v>
      </c>
      <c r="G50" s="1">
        <f>'O-imap_lo_I1b_histrates_DOY058'!G50-'EMv3_spinangle_O-DOY058_DEs_All'!H50</f>
        <v>1</v>
      </c>
      <c r="H50" s="1">
        <f>'O-imap_lo_I1b_histrates_DOY058'!H50-'EMv3_spinangle_O-DOY058_DEs_All'!I50</f>
        <v>0</v>
      </c>
    </row>
    <row r="51" spans="1:8" x14ac:dyDescent="0.2">
      <c r="A51">
        <v>47</v>
      </c>
      <c r="B51" s="1">
        <f>'O-imap_lo_I1b_histrates_DOY058'!B51-'EMv3_spinangle_O-DOY058_DEs_All'!C51</f>
        <v>0</v>
      </c>
      <c r="C51" s="1">
        <f>'O-imap_lo_I1b_histrates_DOY058'!C51-'EMv3_spinangle_O-DOY058_DEs_All'!D51</f>
        <v>0</v>
      </c>
      <c r="D51" s="1">
        <f>'O-imap_lo_I1b_histrates_DOY058'!D51-'EMv3_spinangle_O-DOY058_DEs_All'!E51</f>
        <v>0</v>
      </c>
      <c r="E51" s="1">
        <f>'O-imap_lo_I1b_histrates_DOY058'!E51-'EMv3_spinangle_O-DOY058_DEs_All'!F51</f>
        <v>1</v>
      </c>
      <c r="F51" s="1">
        <f>'O-imap_lo_I1b_histrates_DOY058'!F51-'EMv3_spinangle_O-DOY058_DEs_All'!G51</f>
        <v>1</v>
      </c>
      <c r="G51" s="1">
        <f>'O-imap_lo_I1b_histrates_DOY058'!G51-'EMv3_spinangle_O-DOY058_DEs_All'!H51</f>
        <v>0</v>
      </c>
      <c r="H51" s="1">
        <f>'O-imap_lo_I1b_histrates_DOY058'!H51-'EMv3_spinangle_O-DOY058_DEs_All'!I51</f>
        <v>0</v>
      </c>
    </row>
    <row r="52" spans="1:8" x14ac:dyDescent="0.2">
      <c r="A52">
        <v>48</v>
      </c>
      <c r="B52" s="1">
        <f>'O-imap_lo_I1b_histrates_DOY058'!B52-'EMv3_spinangle_O-DOY058_DEs_All'!C52</f>
        <v>0</v>
      </c>
      <c r="C52" s="1">
        <f>'O-imap_lo_I1b_histrates_DOY058'!C52-'EMv3_spinangle_O-DOY058_DEs_All'!D52</f>
        <v>0</v>
      </c>
      <c r="D52" s="1">
        <f>'O-imap_lo_I1b_histrates_DOY058'!D52-'EMv3_spinangle_O-DOY058_DEs_All'!E52</f>
        <v>0</v>
      </c>
      <c r="E52" s="1">
        <f>'O-imap_lo_I1b_histrates_DOY058'!E52-'EMv3_spinangle_O-DOY058_DEs_All'!F52</f>
        <v>0</v>
      </c>
      <c r="F52" s="1">
        <f>'O-imap_lo_I1b_histrates_DOY058'!F52-'EMv3_spinangle_O-DOY058_DEs_All'!G52</f>
        <v>0</v>
      </c>
      <c r="G52" s="1">
        <f>'O-imap_lo_I1b_histrates_DOY058'!G52-'EMv3_spinangle_O-DOY058_DEs_All'!H52</f>
        <v>0</v>
      </c>
      <c r="H52" s="1">
        <f>'O-imap_lo_I1b_histrates_DOY058'!H52-'EMv3_spinangle_O-DOY058_DEs_All'!I52</f>
        <v>0</v>
      </c>
    </row>
    <row r="53" spans="1:8" x14ac:dyDescent="0.2">
      <c r="A53">
        <v>49</v>
      </c>
      <c r="B53" s="1">
        <f>'O-imap_lo_I1b_histrates_DOY058'!B53-'EMv3_spinangle_O-DOY058_DEs_All'!C53</f>
        <v>0</v>
      </c>
      <c r="C53" s="1">
        <f>'O-imap_lo_I1b_histrates_DOY058'!C53-'EMv3_spinangle_O-DOY058_DEs_All'!D53</f>
        <v>0</v>
      </c>
      <c r="D53" s="1">
        <f>'O-imap_lo_I1b_histrates_DOY058'!D53-'EMv3_spinangle_O-DOY058_DEs_All'!E53</f>
        <v>1</v>
      </c>
      <c r="E53" s="1">
        <f>'O-imap_lo_I1b_histrates_DOY058'!E53-'EMv3_spinangle_O-DOY058_DEs_All'!F53</f>
        <v>0</v>
      </c>
      <c r="F53" s="1">
        <f>'O-imap_lo_I1b_histrates_DOY058'!F53-'EMv3_spinangle_O-DOY058_DEs_All'!G53</f>
        <v>0</v>
      </c>
      <c r="G53" s="1">
        <f>'O-imap_lo_I1b_histrates_DOY058'!G53-'EMv3_spinangle_O-DOY058_DEs_All'!H53</f>
        <v>0</v>
      </c>
      <c r="H53" s="1">
        <f>'O-imap_lo_I1b_histrates_DOY058'!H53-'EMv3_spinangle_O-DOY058_DEs_All'!I53</f>
        <v>1</v>
      </c>
    </row>
    <row r="54" spans="1:8" x14ac:dyDescent="0.2">
      <c r="A54">
        <v>50</v>
      </c>
      <c r="B54" s="1">
        <f>'O-imap_lo_I1b_histrates_DOY058'!B54-'EMv3_spinangle_O-DOY058_DEs_All'!C54</f>
        <v>0</v>
      </c>
      <c r="C54" s="1">
        <f>'O-imap_lo_I1b_histrates_DOY058'!C54-'EMv3_spinangle_O-DOY058_DEs_All'!D54</f>
        <v>0</v>
      </c>
      <c r="D54" s="1">
        <f>'O-imap_lo_I1b_histrates_DOY058'!D54-'EMv3_spinangle_O-DOY058_DEs_All'!E54</f>
        <v>0</v>
      </c>
      <c r="E54" s="1">
        <f>'O-imap_lo_I1b_histrates_DOY058'!E54-'EMv3_spinangle_O-DOY058_DEs_All'!F54</f>
        <v>0</v>
      </c>
      <c r="F54" s="1">
        <f>'O-imap_lo_I1b_histrates_DOY058'!F54-'EMv3_spinangle_O-DOY058_DEs_All'!G54</f>
        <v>0</v>
      </c>
      <c r="G54" s="1">
        <f>'O-imap_lo_I1b_histrates_DOY058'!G54-'EMv3_spinangle_O-DOY058_DEs_All'!H54</f>
        <v>2</v>
      </c>
      <c r="H54" s="1">
        <f>'O-imap_lo_I1b_histrates_DOY058'!H54-'EMv3_spinangle_O-DOY058_DEs_All'!I54</f>
        <v>0</v>
      </c>
    </row>
    <row r="55" spans="1:8" x14ac:dyDescent="0.2">
      <c r="A55">
        <v>51</v>
      </c>
      <c r="B55" s="1">
        <f>'O-imap_lo_I1b_histrates_DOY058'!B55-'EMv3_spinangle_O-DOY058_DEs_All'!C55</f>
        <v>0</v>
      </c>
      <c r="C55" s="1">
        <f>'O-imap_lo_I1b_histrates_DOY058'!C55-'EMv3_spinangle_O-DOY058_DEs_All'!D55</f>
        <v>0</v>
      </c>
      <c r="D55" s="1">
        <f>'O-imap_lo_I1b_histrates_DOY058'!D55-'EMv3_spinangle_O-DOY058_DEs_All'!E55</f>
        <v>-1</v>
      </c>
      <c r="E55" s="1">
        <f>'O-imap_lo_I1b_histrates_DOY058'!E55-'EMv3_spinangle_O-DOY058_DEs_All'!F55</f>
        <v>-1</v>
      </c>
      <c r="F55" s="1">
        <f>'O-imap_lo_I1b_histrates_DOY058'!F55-'EMv3_spinangle_O-DOY058_DEs_All'!G55</f>
        <v>0</v>
      </c>
      <c r="G55" s="1">
        <f>'O-imap_lo_I1b_histrates_DOY058'!G55-'EMv3_spinangle_O-DOY058_DEs_All'!H55</f>
        <v>0</v>
      </c>
      <c r="H55" s="1">
        <f>'O-imap_lo_I1b_histrates_DOY058'!H55-'EMv3_spinangle_O-DOY058_DEs_All'!I55</f>
        <v>0</v>
      </c>
    </row>
    <row r="56" spans="1:8" x14ac:dyDescent="0.2">
      <c r="A56">
        <v>52</v>
      </c>
      <c r="B56" s="1">
        <f>'O-imap_lo_I1b_histrates_DOY058'!B56-'EMv3_spinangle_O-DOY058_DEs_All'!C56</f>
        <v>0</v>
      </c>
      <c r="C56" s="1">
        <f>'O-imap_lo_I1b_histrates_DOY058'!C56-'EMv3_spinangle_O-DOY058_DEs_All'!D56</f>
        <v>-1</v>
      </c>
      <c r="D56" s="1">
        <f>'O-imap_lo_I1b_histrates_DOY058'!D56-'EMv3_spinangle_O-DOY058_DEs_All'!E56</f>
        <v>-1</v>
      </c>
      <c r="E56" s="1">
        <f>'O-imap_lo_I1b_histrates_DOY058'!E56-'EMv3_spinangle_O-DOY058_DEs_All'!F56</f>
        <v>-1</v>
      </c>
      <c r="F56" s="1">
        <f>'O-imap_lo_I1b_histrates_DOY058'!F56-'EMv3_spinangle_O-DOY058_DEs_All'!G56</f>
        <v>0</v>
      </c>
      <c r="G56" s="1">
        <f>'O-imap_lo_I1b_histrates_DOY058'!G56-'EMv3_spinangle_O-DOY058_DEs_All'!H56</f>
        <v>0</v>
      </c>
      <c r="H56" s="1">
        <f>'O-imap_lo_I1b_histrates_DOY058'!H56-'EMv3_spinangle_O-DOY058_DEs_All'!I56</f>
        <v>0</v>
      </c>
    </row>
    <row r="57" spans="1:8" x14ac:dyDescent="0.2">
      <c r="A57">
        <v>53</v>
      </c>
      <c r="B57" s="1">
        <f>'O-imap_lo_I1b_histrates_DOY058'!B57-'EMv3_spinangle_O-DOY058_DEs_All'!C57</f>
        <v>1</v>
      </c>
      <c r="C57" s="1">
        <f>'O-imap_lo_I1b_histrates_DOY058'!C57-'EMv3_spinangle_O-DOY058_DEs_All'!D57</f>
        <v>0</v>
      </c>
      <c r="D57" s="1">
        <f>'O-imap_lo_I1b_histrates_DOY058'!D57-'EMv3_spinangle_O-DOY058_DEs_All'!E57</f>
        <v>1</v>
      </c>
      <c r="E57" s="1">
        <f>'O-imap_lo_I1b_histrates_DOY058'!E57-'EMv3_spinangle_O-DOY058_DEs_All'!F57</f>
        <v>0</v>
      </c>
      <c r="F57" s="1">
        <f>'O-imap_lo_I1b_histrates_DOY058'!F57-'EMv3_spinangle_O-DOY058_DEs_All'!G57</f>
        <v>0</v>
      </c>
      <c r="G57" s="1">
        <f>'O-imap_lo_I1b_histrates_DOY058'!G57-'EMv3_spinangle_O-DOY058_DEs_All'!H57</f>
        <v>1</v>
      </c>
      <c r="H57" s="1">
        <f>'O-imap_lo_I1b_histrates_DOY058'!H57-'EMv3_spinangle_O-DOY058_DEs_All'!I57</f>
        <v>0</v>
      </c>
    </row>
    <row r="58" spans="1:8" x14ac:dyDescent="0.2">
      <c r="A58">
        <v>54</v>
      </c>
      <c r="B58" s="1">
        <f>'O-imap_lo_I1b_histrates_DOY058'!B58-'EMv3_spinangle_O-DOY058_DEs_All'!C58</f>
        <v>0</v>
      </c>
      <c r="C58" s="1">
        <f>'O-imap_lo_I1b_histrates_DOY058'!C58-'EMv3_spinangle_O-DOY058_DEs_All'!D58</f>
        <v>0</v>
      </c>
      <c r="D58" s="1">
        <f>'O-imap_lo_I1b_histrates_DOY058'!D58-'EMv3_spinangle_O-DOY058_DEs_All'!E58</f>
        <v>-1</v>
      </c>
      <c r="E58" s="1">
        <f>'O-imap_lo_I1b_histrates_DOY058'!E58-'EMv3_spinangle_O-DOY058_DEs_All'!F58</f>
        <v>0</v>
      </c>
      <c r="F58" s="1">
        <f>'O-imap_lo_I1b_histrates_DOY058'!F58-'EMv3_spinangle_O-DOY058_DEs_All'!G58</f>
        <v>0</v>
      </c>
      <c r="G58" s="1">
        <f>'O-imap_lo_I1b_histrates_DOY058'!G58-'EMv3_spinangle_O-DOY058_DEs_All'!H58</f>
        <v>0</v>
      </c>
      <c r="H58" s="1">
        <f>'O-imap_lo_I1b_histrates_DOY058'!H58-'EMv3_spinangle_O-DOY058_DEs_All'!I58</f>
        <v>0</v>
      </c>
    </row>
    <row r="59" spans="1:8" x14ac:dyDescent="0.2">
      <c r="A59">
        <v>55</v>
      </c>
      <c r="B59" s="1">
        <f>'O-imap_lo_I1b_histrates_DOY058'!B59-'EMv3_spinangle_O-DOY058_DEs_All'!C59</f>
        <v>0</v>
      </c>
      <c r="C59" s="1">
        <f>'O-imap_lo_I1b_histrates_DOY058'!C59-'EMv3_spinangle_O-DOY058_DEs_All'!D59</f>
        <v>0</v>
      </c>
      <c r="D59" s="1">
        <f>'O-imap_lo_I1b_histrates_DOY058'!D59-'EMv3_spinangle_O-DOY058_DEs_All'!E59</f>
        <v>0</v>
      </c>
      <c r="E59" s="1">
        <f>'O-imap_lo_I1b_histrates_DOY058'!E59-'EMv3_spinangle_O-DOY058_DEs_All'!F59</f>
        <v>0</v>
      </c>
      <c r="F59" s="1">
        <f>'O-imap_lo_I1b_histrates_DOY058'!F59-'EMv3_spinangle_O-DOY058_DEs_All'!G59</f>
        <v>0</v>
      </c>
      <c r="G59" s="1">
        <f>'O-imap_lo_I1b_histrates_DOY058'!G59-'EMv3_spinangle_O-DOY058_DEs_All'!H59</f>
        <v>0</v>
      </c>
      <c r="H59" s="1">
        <f>'O-imap_lo_I1b_histrates_DOY058'!H59-'EMv3_spinangle_O-DOY058_DEs_All'!I59</f>
        <v>1</v>
      </c>
    </row>
    <row r="60" spans="1:8" x14ac:dyDescent="0.2">
      <c r="A60">
        <v>56</v>
      </c>
      <c r="B60" s="1">
        <f>'O-imap_lo_I1b_histrates_DOY058'!B60-'EMv3_spinangle_O-DOY058_DEs_All'!C60</f>
        <v>0</v>
      </c>
      <c r="C60" s="1">
        <f>'O-imap_lo_I1b_histrates_DOY058'!C60-'EMv3_spinangle_O-DOY058_DEs_All'!D60</f>
        <v>0</v>
      </c>
      <c r="D60" s="1">
        <f>'O-imap_lo_I1b_histrates_DOY058'!D60-'EMv3_spinangle_O-DOY058_DEs_All'!E60</f>
        <v>0</v>
      </c>
      <c r="E60" s="1">
        <f>'O-imap_lo_I1b_histrates_DOY058'!E60-'EMv3_spinangle_O-DOY058_DEs_All'!F60</f>
        <v>0</v>
      </c>
      <c r="F60" s="1">
        <f>'O-imap_lo_I1b_histrates_DOY058'!F60-'EMv3_spinangle_O-DOY058_DEs_All'!G60</f>
        <v>1</v>
      </c>
      <c r="G60" s="1">
        <f>'O-imap_lo_I1b_histrates_DOY058'!G60-'EMv3_spinangle_O-DOY058_DEs_All'!H60</f>
        <v>0</v>
      </c>
      <c r="H60" s="1">
        <f>'O-imap_lo_I1b_histrates_DOY058'!H60-'EMv3_spinangle_O-DOY058_DEs_All'!I60</f>
        <v>0</v>
      </c>
    </row>
    <row r="61" spans="1:8" x14ac:dyDescent="0.2">
      <c r="A61">
        <v>57</v>
      </c>
      <c r="B61" s="1">
        <f>'O-imap_lo_I1b_histrates_DOY058'!B61-'EMv3_spinangle_O-DOY058_DEs_All'!C61</f>
        <v>0</v>
      </c>
      <c r="C61" s="1">
        <f>'O-imap_lo_I1b_histrates_DOY058'!C61-'EMv3_spinangle_O-DOY058_DEs_All'!D61</f>
        <v>0</v>
      </c>
      <c r="D61" s="1">
        <f>'O-imap_lo_I1b_histrates_DOY058'!D61-'EMv3_spinangle_O-DOY058_DEs_All'!E61</f>
        <v>0</v>
      </c>
      <c r="E61" s="1">
        <f>'O-imap_lo_I1b_histrates_DOY058'!E61-'EMv3_spinangle_O-DOY058_DEs_All'!F61</f>
        <v>0</v>
      </c>
      <c r="F61" s="1">
        <f>'O-imap_lo_I1b_histrates_DOY058'!F61-'EMv3_spinangle_O-DOY058_DEs_All'!G61</f>
        <v>0</v>
      </c>
      <c r="G61" s="1">
        <f>'O-imap_lo_I1b_histrates_DOY058'!G61-'EMv3_spinangle_O-DOY058_DEs_All'!H61</f>
        <v>1</v>
      </c>
      <c r="H61" s="1">
        <f>'O-imap_lo_I1b_histrates_DOY058'!H61-'EMv3_spinangle_O-DOY058_DEs_All'!I61</f>
        <v>0</v>
      </c>
    </row>
    <row r="62" spans="1:8" x14ac:dyDescent="0.2">
      <c r="A62">
        <v>58</v>
      </c>
      <c r="B62" s="1">
        <f>'O-imap_lo_I1b_histrates_DOY058'!B62-'EMv3_spinangle_O-DOY058_DEs_All'!C62</f>
        <v>0</v>
      </c>
      <c r="C62" s="1">
        <f>'O-imap_lo_I1b_histrates_DOY058'!C62-'EMv3_spinangle_O-DOY058_DEs_All'!D62</f>
        <v>0</v>
      </c>
      <c r="D62" s="1">
        <f>'O-imap_lo_I1b_histrates_DOY058'!D62-'EMv3_spinangle_O-DOY058_DEs_All'!E62</f>
        <v>-1</v>
      </c>
      <c r="E62" s="1">
        <f>'O-imap_lo_I1b_histrates_DOY058'!E62-'EMv3_spinangle_O-DOY058_DEs_All'!F62</f>
        <v>-1</v>
      </c>
      <c r="F62" s="1">
        <f>'O-imap_lo_I1b_histrates_DOY058'!F62-'EMv3_spinangle_O-DOY058_DEs_All'!G62</f>
        <v>0</v>
      </c>
      <c r="G62" s="1">
        <f>'O-imap_lo_I1b_histrates_DOY058'!G62-'EMv3_spinangle_O-DOY058_DEs_All'!H62</f>
        <v>0</v>
      </c>
      <c r="H62" s="1">
        <f>'O-imap_lo_I1b_histrates_DOY058'!H62-'EMv3_spinangle_O-DOY058_DEs_All'!I62</f>
        <v>0</v>
      </c>
    </row>
    <row r="63" spans="1:8" x14ac:dyDescent="0.2">
      <c r="A63">
        <v>59</v>
      </c>
      <c r="B63" s="1">
        <f>'O-imap_lo_I1b_histrates_DOY058'!B63-'EMv3_spinangle_O-DOY058_DEs_All'!C63</f>
        <v>0</v>
      </c>
      <c r="C63" s="1">
        <f>'O-imap_lo_I1b_histrates_DOY058'!C63-'EMv3_spinangle_O-DOY058_DEs_All'!D63</f>
        <v>0</v>
      </c>
      <c r="D63" s="1">
        <f>'O-imap_lo_I1b_histrates_DOY058'!D63-'EMv3_spinangle_O-DOY058_DEs_All'!E63</f>
        <v>0</v>
      </c>
      <c r="E63" s="1">
        <f>'O-imap_lo_I1b_histrates_DOY058'!E63-'EMv3_spinangle_O-DOY058_DEs_All'!F63</f>
        <v>0</v>
      </c>
      <c r="F63" s="1">
        <f>'O-imap_lo_I1b_histrates_DOY058'!F63-'EMv3_spinangle_O-DOY058_DEs_All'!G63</f>
        <v>0</v>
      </c>
      <c r="G63" s="1">
        <f>'O-imap_lo_I1b_histrates_DOY058'!G63-'EMv3_spinangle_O-DOY058_DEs_All'!H63</f>
        <v>0</v>
      </c>
      <c r="H63" s="1">
        <f>'O-imap_lo_I1b_histrates_DOY058'!H63-'EMv3_spinangle_O-DOY058_DEs_All'!I63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2C9C-F63C-2947-BBFF-2D413490B9E7}">
  <dimension ref="A1:J63"/>
  <sheetViews>
    <sheetView workbookViewId="0">
      <selection activeCell="J4" sqref="J4:J63"/>
    </sheetView>
  </sheetViews>
  <sheetFormatPr baseColWidth="10" defaultRowHeight="16" x14ac:dyDescent="0.2"/>
  <sheetData>
    <row r="1" spans="1:10" x14ac:dyDescent="0.2">
      <c r="A1" t="s">
        <v>13</v>
      </c>
      <c r="B1" s="2">
        <f>B2/'O-imap_lo_I1b_histrates_DOY058'!B2</f>
        <v>0.13114754098360656</v>
      </c>
      <c r="C1" s="2">
        <f>C2/'O-imap_lo_I1b_histrates_DOY058'!C2</f>
        <v>0.14858096828046743</v>
      </c>
      <c r="D1" s="2">
        <f>D2/'O-imap_lo_I1b_histrates_DOY058'!D2</f>
        <v>0.12254610350981558</v>
      </c>
      <c r="E1" s="2">
        <f>E2/'O-imap_lo_I1b_histrates_DOY058'!E2</f>
        <v>0.11754229741763135</v>
      </c>
      <c r="F1" s="2">
        <f>F2/'O-imap_lo_I1b_histrates_DOY058'!F2</f>
        <v>0.25</v>
      </c>
      <c r="G1" s="2">
        <f>G2/'O-imap_lo_I1b_histrates_DOY058'!G2</f>
        <v>4.5454545454545456E-2</v>
      </c>
      <c r="H1" s="2">
        <f>H2/'O-imap_lo_I1b_histrates_DOY058'!H2</f>
        <v>0.23529411764705882</v>
      </c>
      <c r="I1" s="2">
        <f>I2/'O-imap_lo_I1b_histrates_DOY058'!I2</f>
        <v>0.12688741721854305</v>
      </c>
    </row>
    <row r="2" spans="1:10" x14ac:dyDescent="0.2">
      <c r="A2" t="s">
        <v>12</v>
      </c>
      <c r="B2" s="1">
        <f>SUM(B4:B63)</f>
        <v>40</v>
      </c>
      <c r="C2" s="1">
        <f t="shared" ref="C2:H2" si="0">SUM(C4:C63)</f>
        <v>89</v>
      </c>
      <c r="D2" s="1">
        <f t="shared" si="0"/>
        <v>206</v>
      </c>
      <c r="E2" s="1">
        <f t="shared" si="0"/>
        <v>132</v>
      </c>
      <c r="F2" s="1">
        <f t="shared" si="0"/>
        <v>7</v>
      </c>
      <c r="G2" s="1">
        <f t="shared" si="0"/>
        <v>1</v>
      </c>
      <c r="H2" s="1">
        <f t="shared" si="0"/>
        <v>4</v>
      </c>
      <c r="I2" s="1">
        <f>SUM(B2:H2)</f>
        <v>479</v>
      </c>
    </row>
    <row r="3" spans="1:10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J3" t="s">
        <v>14</v>
      </c>
    </row>
    <row r="4" spans="1:10" x14ac:dyDescent="0.2">
      <c r="A4">
        <v>0</v>
      </c>
      <c r="B4" s="1">
        <f>'O-imap_lo_I1b_histrates_DOY058'!B4-'EMv3_spin_new_O-DOY058_DEs_All'!C4</f>
        <v>0</v>
      </c>
      <c r="C4" s="1">
        <f>'O-imap_lo_I1b_histrates_DOY058'!C4-'EMv3_spin_new_O-DOY058_DEs_All'!D4</f>
        <v>0</v>
      </c>
      <c r="D4" s="1">
        <f>'O-imap_lo_I1b_histrates_DOY058'!D4-'EMv3_spin_new_O-DOY058_DEs_All'!E4</f>
        <v>0</v>
      </c>
      <c r="E4" s="1">
        <f>'O-imap_lo_I1b_histrates_DOY058'!E4-'EMv3_spin_new_O-DOY058_DEs_All'!F4</f>
        <v>0</v>
      </c>
      <c r="F4" s="1">
        <f>'O-imap_lo_I1b_histrates_DOY058'!F4-'EMv3_spin_new_O-DOY058_DEs_All'!G4</f>
        <v>0</v>
      </c>
      <c r="G4" s="1">
        <f>'O-imap_lo_I1b_histrates_DOY058'!G4-'EMv3_spin_new_O-DOY058_DEs_All'!H4</f>
        <v>0</v>
      </c>
      <c r="H4" s="1">
        <f>'O-imap_lo_I1b_histrates_DOY058'!H4-'EMv3_spin_new_O-DOY058_DEs_All'!I4</f>
        <v>-1</v>
      </c>
      <c r="J4">
        <f>A4*6+3</f>
        <v>3</v>
      </c>
    </row>
    <row r="5" spans="1:10" x14ac:dyDescent="0.2">
      <c r="A5">
        <v>1</v>
      </c>
      <c r="B5" s="1">
        <f>'O-imap_lo_I1b_histrates_DOY058'!B5-'EMv3_spin_new_O-DOY058_DEs_All'!C5</f>
        <v>0</v>
      </c>
      <c r="C5" s="1">
        <f>'O-imap_lo_I1b_histrates_DOY058'!C5-'EMv3_spin_new_O-DOY058_DEs_All'!D5</f>
        <v>0</v>
      </c>
      <c r="D5" s="1">
        <f>'O-imap_lo_I1b_histrates_DOY058'!D5-'EMv3_spin_new_O-DOY058_DEs_All'!E5</f>
        <v>0</v>
      </c>
      <c r="E5" s="1">
        <f>'O-imap_lo_I1b_histrates_DOY058'!E5-'EMv3_spin_new_O-DOY058_DEs_All'!F5</f>
        <v>0</v>
      </c>
      <c r="F5" s="1">
        <f>'O-imap_lo_I1b_histrates_DOY058'!F5-'EMv3_spin_new_O-DOY058_DEs_All'!G5</f>
        <v>0</v>
      </c>
      <c r="G5" s="1">
        <f>'O-imap_lo_I1b_histrates_DOY058'!G5-'EMv3_spin_new_O-DOY058_DEs_All'!H5</f>
        <v>0</v>
      </c>
      <c r="H5" s="1">
        <f>'O-imap_lo_I1b_histrates_DOY058'!H5-'EMv3_spin_new_O-DOY058_DEs_All'!I5</f>
        <v>0</v>
      </c>
      <c r="J5">
        <f t="shared" ref="J5:J63" si="1">A5*6+3</f>
        <v>9</v>
      </c>
    </row>
    <row r="6" spans="1:10" x14ac:dyDescent="0.2">
      <c r="A6">
        <v>2</v>
      </c>
      <c r="B6" s="1">
        <f>'O-imap_lo_I1b_histrates_DOY058'!B6-'EMv3_spin_new_O-DOY058_DEs_All'!C6</f>
        <v>0</v>
      </c>
      <c r="C6" s="1">
        <f>'O-imap_lo_I1b_histrates_DOY058'!C6-'EMv3_spin_new_O-DOY058_DEs_All'!D6</f>
        <v>0</v>
      </c>
      <c r="D6" s="1">
        <f>'O-imap_lo_I1b_histrates_DOY058'!D6-'EMv3_spin_new_O-DOY058_DEs_All'!E6</f>
        <v>0</v>
      </c>
      <c r="E6" s="1">
        <f>'O-imap_lo_I1b_histrates_DOY058'!E6-'EMv3_spin_new_O-DOY058_DEs_All'!F6</f>
        <v>0</v>
      </c>
      <c r="F6" s="1">
        <f>'O-imap_lo_I1b_histrates_DOY058'!F6-'EMv3_spin_new_O-DOY058_DEs_All'!G6</f>
        <v>0</v>
      </c>
      <c r="G6" s="1">
        <f>'O-imap_lo_I1b_histrates_DOY058'!G6-'EMv3_spin_new_O-DOY058_DEs_All'!H6</f>
        <v>0</v>
      </c>
      <c r="H6" s="1">
        <f>'O-imap_lo_I1b_histrates_DOY058'!H6-'EMv3_spin_new_O-DOY058_DEs_All'!I6</f>
        <v>0</v>
      </c>
      <c r="J6">
        <f t="shared" si="1"/>
        <v>15</v>
      </c>
    </row>
    <row r="7" spans="1:10" x14ac:dyDescent="0.2">
      <c r="A7">
        <v>3</v>
      </c>
      <c r="B7" s="1">
        <f>'O-imap_lo_I1b_histrates_DOY058'!B7-'EMv3_spin_new_O-DOY058_DEs_All'!C7</f>
        <v>0</v>
      </c>
      <c r="C7" s="1">
        <f>'O-imap_lo_I1b_histrates_DOY058'!C7-'EMv3_spin_new_O-DOY058_DEs_All'!D7</f>
        <v>0</v>
      </c>
      <c r="D7" s="1">
        <f>'O-imap_lo_I1b_histrates_DOY058'!D7-'EMv3_spin_new_O-DOY058_DEs_All'!E7</f>
        <v>0</v>
      </c>
      <c r="E7" s="1">
        <f>'O-imap_lo_I1b_histrates_DOY058'!E7-'EMv3_spin_new_O-DOY058_DEs_All'!F7</f>
        <v>0</v>
      </c>
      <c r="F7" s="1">
        <f>'O-imap_lo_I1b_histrates_DOY058'!F7-'EMv3_spin_new_O-DOY058_DEs_All'!G7</f>
        <v>0</v>
      </c>
      <c r="G7" s="1">
        <f>'O-imap_lo_I1b_histrates_DOY058'!G7-'EMv3_spin_new_O-DOY058_DEs_All'!H7</f>
        <v>0</v>
      </c>
      <c r="H7" s="1">
        <f>'O-imap_lo_I1b_histrates_DOY058'!H7-'EMv3_spin_new_O-DOY058_DEs_All'!I7</f>
        <v>0</v>
      </c>
      <c r="J7">
        <f t="shared" si="1"/>
        <v>21</v>
      </c>
    </row>
    <row r="8" spans="1:10" x14ac:dyDescent="0.2">
      <c r="A8">
        <v>4</v>
      </c>
      <c r="B8" s="1">
        <f>'O-imap_lo_I1b_histrates_DOY058'!B8-'EMv3_spin_new_O-DOY058_DEs_All'!C8</f>
        <v>0</v>
      </c>
      <c r="C8" s="1">
        <f>'O-imap_lo_I1b_histrates_DOY058'!C8-'EMv3_spin_new_O-DOY058_DEs_All'!D8</f>
        <v>0</v>
      </c>
      <c r="D8" s="1">
        <f>'O-imap_lo_I1b_histrates_DOY058'!D8-'EMv3_spin_new_O-DOY058_DEs_All'!E8</f>
        <v>0</v>
      </c>
      <c r="E8" s="1">
        <f>'O-imap_lo_I1b_histrates_DOY058'!E8-'EMv3_spin_new_O-DOY058_DEs_All'!F8</f>
        <v>0</v>
      </c>
      <c r="F8" s="1">
        <f>'O-imap_lo_I1b_histrates_DOY058'!F8-'EMv3_spin_new_O-DOY058_DEs_All'!G8</f>
        <v>0</v>
      </c>
      <c r="G8" s="1">
        <f>'O-imap_lo_I1b_histrates_DOY058'!G8-'EMv3_spin_new_O-DOY058_DEs_All'!H8</f>
        <v>0</v>
      </c>
      <c r="H8" s="1">
        <f>'O-imap_lo_I1b_histrates_DOY058'!H8-'EMv3_spin_new_O-DOY058_DEs_All'!I8</f>
        <v>0</v>
      </c>
      <c r="J8">
        <f t="shared" si="1"/>
        <v>27</v>
      </c>
    </row>
    <row r="9" spans="1:10" x14ac:dyDescent="0.2">
      <c r="A9">
        <v>5</v>
      </c>
      <c r="B9" s="1">
        <f>'O-imap_lo_I1b_histrates_DOY058'!B9-'EMv3_spin_new_O-DOY058_DEs_All'!C9</f>
        <v>0</v>
      </c>
      <c r="C9" s="1">
        <f>'O-imap_lo_I1b_histrates_DOY058'!C9-'EMv3_spin_new_O-DOY058_DEs_All'!D9</f>
        <v>0</v>
      </c>
      <c r="D9" s="1">
        <f>'O-imap_lo_I1b_histrates_DOY058'!D9-'EMv3_spin_new_O-DOY058_DEs_All'!E9</f>
        <v>0</v>
      </c>
      <c r="E9" s="1">
        <f>'O-imap_lo_I1b_histrates_DOY058'!E9-'EMv3_spin_new_O-DOY058_DEs_All'!F9</f>
        <v>0</v>
      </c>
      <c r="F9" s="1">
        <f>'O-imap_lo_I1b_histrates_DOY058'!F9-'EMv3_spin_new_O-DOY058_DEs_All'!G9</f>
        <v>0</v>
      </c>
      <c r="G9" s="1">
        <f>'O-imap_lo_I1b_histrates_DOY058'!G9-'EMv3_spin_new_O-DOY058_DEs_All'!H9</f>
        <v>0</v>
      </c>
      <c r="H9" s="1">
        <f>'O-imap_lo_I1b_histrates_DOY058'!H9-'EMv3_spin_new_O-DOY058_DEs_All'!I9</f>
        <v>0</v>
      </c>
      <c r="J9">
        <f t="shared" si="1"/>
        <v>33</v>
      </c>
    </row>
    <row r="10" spans="1:10" x14ac:dyDescent="0.2">
      <c r="A10">
        <v>6</v>
      </c>
      <c r="B10" s="1">
        <f>'O-imap_lo_I1b_histrates_DOY058'!B10-'EMv3_spin_new_O-DOY058_DEs_All'!C10</f>
        <v>0</v>
      </c>
      <c r="C10" s="1">
        <f>'O-imap_lo_I1b_histrates_DOY058'!C10-'EMv3_spin_new_O-DOY058_DEs_All'!D10</f>
        <v>0</v>
      </c>
      <c r="D10" s="1">
        <f>'O-imap_lo_I1b_histrates_DOY058'!D10-'EMv3_spin_new_O-DOY058_DEs_All'!E10</f>
        <v>0</v>
      </c>
      <c r="E10" s="1">
        <f>'O-imap_lo_I1b_histrates_DOY058'!E10-'EMv3_spin_new_O-DOY058_DEs_All'!F10</f>
        <v>1</v>
      </c>
      <c r="F10" s="1">
        <f>'O-imap_lo_I1b_histrates_DOY058'!F10-'EMv3_spin_new_O-DOY058_DEs_All'!G10</f>
        <v>1</v>
      </c>
      <c r="G10" s="1">
        <f>'O-imap_lo_I1b_histrates_DOY058'!G10-'EMv3_spin_new_O-DOY058_DEs_All'!H10</f>
        <v>0</v>
      </c>
      <c r="H10" s="1">
        <f>'O-imap_lo_I1b_histrates_DOY058'!H10-'EMv3_spin_new_O-DOY058_DEs_All'!I10</f>
        <v>0</v>
      </c>
      <c r="J10">
        <f t="shared" si="1"/>
        <v>39</v>
      </c>
    </row>
    <row r="11" spans="1:10" x14ac:dyDescent="0.2">
      <c r="A11">
        <v>7</v>
      </c>
      <c r="B11" s="1">
        <f>'O-imap_lo_I1b_histrates_DOY058'!B11-'EMv3_spin_new_O-DOY058_DEs_All'!C11</f>
        <v>0</v>
      </c>
      <c r="C11" s="1">
        <f>'O-imap_lo_I1b_histrates_DOY058'!C11-'EMv3_spin_new_O-DOY058_DEs_All'!D11</f>
        <v>0</v>
      </c>
      <c r="D11" s="1">
        <f>'O-imap_lo_I1b_histrates_DOY058'!D11-'EMv3_spin_new_O-DOY058_DEs_All'!E11</f>
        <v>0</v>
      </c>
      <c r="E11" s="1">
        <f>'O-imap_lo_I1b_histrates_DOY058'!E11-'EMv3_spin_new_O-DOY058_DEs_All'!F11</f>
        <v>-1</v>
      </c>
      <c r="F11" s="1">
        <f>'O-imap_lo_I1b_histrates_DOY058'!F11-'EMv3_spin_new_O-DOY058_DEs_All'!G11</f>
        <v>0</v>
      </c>
      <c r="G11" s="1">
        <f>'O-imap_lo_I1b_histrates_DOY058'!G11-'EMv3_spin_new_O-DOY058_DEs_All'!H11</f>
        <v>0</v>
      </c>
      <c r="H11" s="1">
        <f>'O-imap_lo_I1b_histrates_DOY058'!H11-'EMv3_spin_new_O-DOY058_DEs_All'!I11</f>
        <v>0</v>
      </c>
      <c r="J11">
        <f t="shared" si="1"/>
        <v>45</v>
      </c>
    </row>
    <row r="12" spans="1:10" x14ac:dyDescent="0.2">
      <c r="A12">
        <v>8</v>
      </c>
      <c r="B12" s="1">
        <f>'O-imap_lo_I1b_histrates_DOY058'!B12-'EMv3_spin_new_O-DOY058_DEs_All'!C12</f>
        <v>0</v>
      </c>
      <c r="C12" s="1">
        <f>'O-imap_lo_I1b_histrates_DOY058'!C12-'EMv3_spin_new_O-DOY058_DEs_All'!D12</f>
        <v>0</v>
      </c>
      <c r="D12" s="1">
        <f>'O-imap_lo_I1b_histrates_DOY058'!D12-'EMv3_spin_new_O-DOY058_DEs_All'!E12</f>
        <v>0</v>
      </c>
      <c r="E12" s="1">
        <f>'O-imap_lo_I1b_histrates_DOY058'!E12-'EMv3_spin_new_O-DOY058_DEs_All'!F12</f>
        <v>1</v>
      </c>
      <c r="F12" s="1">
        <f>'O-imap_lo_I1b_histrates_DOY058'!F12-'EMv3_spin_new_O-DOY058_DEs_All'!G12</f>
        <v>1</v>
      </c>
      <c r="G12" s="1">
        <f>'O-imap_lo_I1b_histrates_DOY058'!G12-'EMv3_spin_new_O-DOY058_DEs_All'!H12</f>
        <v>0</v>
      </c>
      <c r="H12" s="1">
        <f>'O-imap_lo_I1b_histrates_DOY058'!H12-'EMv3_spin_new_O-DOY058_DEs_All'!I12</f>
        <v>0</v>
      </c>
      <c r="J12">
        <f t="shared" si="1"/>
        <v>51</v>
      </c>
    </row>
    <row r="13" spans="1:10" x14ac:dyDescent="0.2">
      <c r="A13">
        <v>9</v>
      </c>
      <c r="B13" s="1">
        <f>'O-imap_lo_I1b_histrates_DOY058'!B13-'EMv3_spin_new_O-DOY058_DEs_All'!C13</f>
        <v>0</v>
      </c>
      <c r="C13" s="1">
        <f>'O-imap_lo_I1b_histrates_DOY058'!C13-'EMv3_spin_new_O-DOY058_DEs_All'!D13</f>
        <v>0</v>
      </c>
      <c r="D13" s="1">
        <f>'O-imap_lo_I1b_histrates_DOY058'!D13-'EMv3_spin_new_O-DOY058_DEs_All'!E13</f>
        <v>0</v>
      </c>
      <c r="E13" s="1">
        <f>'O-imap_lo_I1b_histrates_DOY058'!E13-'EMv3_spin_new_O-DOY058_DEs_All'!F13</f>
        <v>-1</v>
      </c>
      <c r="F13" s="1">
        <f>'O-imap_lo_I1b_histrates_DOY058'!F13-'EMv3_spin_new_O-DOY058_DEs_All'!G13</f>
        <v>0</v>
      </c>
      <c r="G13" s="1">
        <f>'O-imap_lo_I1b_histrates_DOY058'!G13-'EMv3_spin_new_O-DOY058_DEs_All'!H13</f>
        <v>0</v>
      </c>
      <c r="H13" s="1">
        <f>'O-imap_lo_I1b_histrates_DOY058'!H13-'EMv3_spin_new_O-DOY058_DEs_All'!I13</f>
        <v>0</v>
      </c>
      <c r="J13">
        <f t="shared" si="1"/>
        <v>57</v>
      </c>
    </row>
    <row r="14" spans="1:10" x14ac:dyDescent="0.2">
      <c r="A14">
        <v>10</v>
      </c>
      <c r="B14" s="1">
        <f>'O-imap_lo_I1b_histrates_DOY058'!B14-'EMv3_spin_new_O-DOY058_DEs_All'!C14</f>
        <v>0</v>
      </c>
      <c r="C14" s="1">
        <f>'O-imap_lo_I1b_histrates_DOY058'!C14-'EMv3_spin_new_O-DOY058_DEs_All'!D14</f>
        <v>1</v>
      </c>
      <c r="D14" s="1">
        <f>'O-imap_lo_I1b_histrates_DOY058'!D14-'EMv3_spin_new_O-DOY058_DEs_All'!E14</f>
        <v>3</v>
      </c>
      <c r="E14" s="1">
        <f>'O-imap_lo_I1b_histrates_DOY058'!E14-'EMv3_spin_new_O-DOY058_DEs_All'!F14</f>
        <v>1</v>
      </c>
      <c r="F14" s="1">
        <f>'O-imap_lo_I1b_histrates_DOY058'!F14-'EMv3_spin_new_O-DOY058_DEs_All'!G14</f>
        <v>0</v>
      </c>
      <c r="G14" s="1">
        <f>'O-imap_lo_I1b_histrates_DOY058'!G14-'EMv3_spin_new_O-DOY058_DEs_All'!H14</f>
        <v>0</v>
      </c>
      <c r="H14" s="1">
        <f>'O-imap_lo_I1b_histrates_DOY058'!H14-'EMv3_spin_new_O-DOY058_DEs_All'!I14</f>
        <v>0</v>
      </c>
      <c r="J14">
        <f t="shared" si="1"/>
        <v>63</v>
      </c>
    </row>
    <row r="15" spans="1:10" x14ac:dyDescent="0.2">
      <c r="A15">
        <v>11</v>
      </c>
      <c r="B15" s="1">
        <f>'O-imap_lo_I1b_histrates_DOY058'!B15-'EMv3_spin_new_O-DOY058_DEs_All'!C15</f>
        <v>4</v>
      </c>
      <c r="C15" s="1">
        <f>'O-imap_lo_I1b_histrates_DOY058'!C15-'EMv3_spin_new_O-DOY058_DEs_All'!D15</f>
        <v>5</v>
      </c>
      <c r="D15" s="1">
        <f>'O-imap_lo_I1b_histrates_DOY058'!D15-'EMv3_spin_new_O-DOY058_DEs_All'!E15</f>
        <v>6</v>
      </c>
      <c r="E15" s="1">
        <f>'O-imap_lo_I1b_histrates_DOY058'!E15-'EMv3_spin_new_O-DOY058_DEs_All'!F15</f>
        <v>5</v>
      </c>
      <c r="F15" s="1">
        <f>'O-imap_lo_I1b_histrates_DOY058'!F15-'EMv3_spin_new_O-DOY058_DEs_All'!G15</f>
        <v>0</v>
      </c>
      <c r="G15" s="1">
        <f>'O-imap_lo_I1b_histrates_DOY058'!G15-'EMv3_spin_new_O-DOY058_DEs_All'!H15</f>
        <v>0</v>
      </c>
      <c r="H15" s="1">
        <f>'O-imap_lo_I1b_histrates_DOY058'!H15-'EMv3_spin_new_O-DOY058_DEs_All'!I15</f>
        <v>0</v>
      </c>
      <c r="J15">
        <f t="shared" si="1"/>
        <v>69</v>
      </c>
    </row>
    <row r="16" spans="1:10" x14ac:dyDescent="0.2">
      <c r="A16">
        <v>12</v>
      </c>
      <c r="B16" s="1">
        <f>'O-imap_lo_I1b_histrates_DOY058'!B16-'EMv3_spin_new_O-DOY058_DEs_All'!C16</f>
        <v>5</v>
      </c>
      <c r="C16" s="1">
        <f>'O-imap_lo_I1b_histrates_DOY058'!C16-'EMv3_spin_new_O-DOY058_DEs_All'!D16</f>
        <v>16</v>
      </c>
      <c r="D16" s="1">
        <f>'O-imap_lo_I1b_histrates_DOY058'!D16-'EMv3_spin_new_O-DOY058_DEs_All'!E16</f>
        <v>47</v>
      </c>
      <c r="E16" s="1">
        <f>'O-imap_lo_I1b_histrates_DOY058'!E16-'EMv3_spin_new_O-DOY058_DEs_All'!F16</f>
        <v>33</v>
      </c>
      <c r="F16" s="1">
        <f>'O-imap_lo_I1b_histrates_DOY058'!F16-'EMv3_spin_new_O-DOY058_DEs_All'!G16</f>
        <v>0</v>
      </c>
      <c r="G16" s="1">
        <f>'O-imap_lo_I1b_histrates_DOY058'!G16-'EMv3_spin_new_O-DOY058_DEs_All'!H16</f>
        <v>0</v>
      </c>
      <c r="H16" s="1">
        <f>'O-imap_lo_I1b_histrates_DOY058'!H16-'EMv3_spin_new_O-DOY058_DEs_All'!I16</f>
        <v>0</v>
      </c>
      <c r="J16">
        <f t="shared" si="1"/>
        <v>75</v>
      </c>
    </row>
    <row r="17" spans="1:10" x14ac:dyDescent="0.2">
      <c r="A17">
        <v>13</v>
      </c>
      <c r="B17" s="1">
        <f>'O-imap_lo_I1b_histrates_DOY058'!B17-'EMv3_spin_new_O-DOY058_DEs_All'!C17</f>
        <v>17</v>
      </c>
      <c r="C17" s="1">
        <f>'O-imap_lo_I1b_histrates_DOY058'!C17-'EMv3_spin_new_O-DOY058_DEs_All'!D17</f>
        <v>48</v>
      </c>
      <c r="D17" s="1">
        <f>'O-imap_lo_I1b_histrates_DOY058'!D17-'EMv3_spin_new_O-DOY058_DEs_All'!E17</f>
        <v>121</v>
      </c>
      <c r="E17" s="1">
        <f>'O-imap_lo_I1b_histrates_DOY058'!E17-'EMv3_spin_new_O-DOY058_DEs_All'!F17</f>
        <v>57</v>
      </c>
      <c r="F17" s="1">
        <f>'O-imap_lo_I1b_histrates_DOY058'!F17-'EMv3_spin_new_O-DOY058_DEs_All'!G17</f>
        <v>3</v>
      </c>
      <c r="G17" s="1">
        <f>'O-imap_lo_I1b_histrates_DOY058'!G17-'EMv3_spin_new_O-DOY058_DEs_All'!H17</f>
        <v>1</v>
      </c>
      <c r="H17" s="1">
        <f>'O-imap_lo_I1b_histrates_DOY058'!H17-'EMv3_spin_new_O-DOY058_DEs_All'!I17</f>
        <v>0</v>
      </c>
      <c r="J17">
        <f t="shared" si="1"/>
        <v>81</v>
      </c>
    </row>
    <row r="18" spans="1:10" x14ac:dyDescent="0.2">
      <c r="A18">
        <v>14</v>
      </c>
      <c r="B18" s="1">
        <f>'O-imap_lo_I1b_histrates_DOY058'!B18-'EMv3_spin_new_O-DOY058_DEs_All'!C18</f>
        <v>20</v>
      </c>
      <c r="C18" s="1">
        <f>'O-imap_lo_I1b_histrates_DOY058'!C18-'EMv3_spin_new_O-DOY058_DEs_All'!D18</f>
        <v>16</v>
      </c>
      <c r="D18" s="1">
        <f>'O-imap_lo_I1b_histrates_DOY058'!D18-'EMv3_spin_new_O-DOY058_DEs_All'!E18</f>
        <v>77</v>
      </c>
      <c r="E18" s="1">
        <f>'O-imap_lo_I1b_histrates_DOY058'!E18-'EMv3_spin_new_O-DOY058_DEs_All'!F18</f>
        <v>63</v>
      </c>
      <c r="F18" s="1">
        <f>'O-imap_lo_I1b_histrates_DOY058'!F18-'EMv3_spin_new_O-DOY058_DEs_All'!G18</f>
        <v>1</v>
      </c>
      <c r="G18" s="1">
        <f>'O-imap_lo_I1b_histrates_DOY058'!G18-'EMv3_spin_new_O-DOY058_DEs_All'!H18</f>
        <v>0</v>
      </c>
      <c r="H18" s="1">
        <f>'O-imap_lo_I1b_histrates_DOY058'!H18-'EMv3_spin_new_O-DOY058_DEs_All'!I18</f>
        <v>0</v>
      </c>
      <c r="J18">
        <f t="shared" si="1"/>
        <v>87</v>
      </c>
    </row>
    <row r="19" spans="1:10" x14ac:dyDescent="0.2">
      <c r="A19">
        <v>15</v>
      </c>
      <c r="B19" s="1">
        <f>'O-imap_lo_I1b_histrates_DOY058'!B19-'EMv3_spin_new_O-DOY058_DEs_All'!C19</f>
        <v>-7</v>
      </c>
      <c r="C19" s="1">
        <f>'O-imap_lo_I1b_histrates_DOY058'!C19-'EMv3_spin_new_O-DOY058_DEs_All'!D19</f>
        <v>10</v>
      </c>
      <c r="D19" s="1">
        <f>'O-imap_lo_I1b_histrates_DOY058'!D19-'EMv3_spin_new_O-DOY058_DEs_All'!E19</f>
        <v>-13</v>
      </c>
      <c r="E19" s="1">
        <f>'O-imap_lo_I1b_histrates_DOY058'!E19-'EMv3_spin_new_O-DOY058_DEs_All'!F19</f>
        <v>-12</v>
      </c>
      <c r="F19" s="1">
        <f>'O-imap_lo_I1b_histrates_DOY058'!F19-'EMv3_spin_new_O-DOY058_DEs_All'!G19</f>
        <v>0</v>
      </c>
      <c r="G19" s="1">
        <f>'O-imap_lo_I1b_histrates_DOY058'!G19-'EMv3_spin_new_O-DOY058_DEs_All'!H19</f>
        <v>0</v>
      </c>
      <c r="H19" s="1">
        <f>'O-imap_lo_I1b_histrates_DOY058'!H19-'EMv3_spin_new_O-DOY058_DEs_All'!I19</f>
        <v>1</v>
      </c>
      <c r="J19">
        <f t="shared" si="1"/>
        <v>93</v>
      </c>
    </row>
    <row r="20" spans="1:10" x14ac:dyDescent="0.2">
      <c r="A20">
        <v>16</v>
      </c>
      <c r="B20" s="1">
        <f>'O-imap_lo_I1b_histrates_DOY058'!B20-'EMv3_spin_new_O-DOY058_DEs_All'!C20</f>
        <v>0</v>
      </c>
      <c r="C20" s="1">
        <f>'O-imap_lo_I1b_histrates_DOY058'!C20-'EMv3_spin_new_O-DOY058_DEs_All'!D20</f>
        <v>-10</v>
      </c>
      <c r="D20" s="1">
        <f>'O-imap_lo_I1b_histrates_DOY058'!D20-'EMv3_spin_new_O-DOY058_DEs_All'!E20</f>
        <v>-32</v>
      </c>
      <c r="E20" s="1">
        <f>'O-imap_lo_I1b_histrates_DOY058'!E20-'EMv3_spin_new_O-DOY058_DEs_All'!F20</f>
        <v>-14</v>
      </c>
      <c r="F20" s="1">
        <f>'O-imap_lo_I1b_histrates_DOY058'!F20-'EMv3_spin_new_O-DOY058_DEs_All'!G20</f>
        <v>0</v>
      </c>
      <c r="G20" s="1">
        <f>'O-imap_lo_I1b_histrates_DOY058'!G20-'EMv3_spin_new_O-DOY058_DEs_All'!H20</f>
        <v>-1</v>
      </c>
      <c r="H20" s="1">
        <f>'O-imap_lo_I1b_histrates_DOY058'!H20-'EMv3_spin_new_O-DOY058_DEs_All'!I20</f>
        <v>0</v>
      </c>
      <c r="J20">
        <f t="shared" si="1"/>
        <v>99</v>
      </c>
    </row>
    <row r="21" spans="1:10" x14ac:dyDescent="0.2">
      <c r="A21">
        <v>17</v>
      </c>
      <c r="B21" s="1">
        <f>'O-imap_lo_I1b_histrates_DOY058'!B21-'EMv3_spin_new_O-DOY058_DEs_All'!C21</f>
        <v>-1</v>
      </c>
      <c r="C21" s="1">
        <f>'O-imap_lo_I1b_histrates_DOY058'!C21-'EMv3_spin_new_O-DOY058_DEs_All'!D21</f>
        <v>1</v>
      </c>
      <c r="D21" s="1">
        <f>'O-imap_lo_I1b_histrates_DOY058'!D21-'EMv3_spin_new_O-DOY058_DEs_All'!E21</f>
        <v>-5</v>
      </c>
      <c r="E21" s="1">
        <f>'O-imap_lo_I1b_histrates_DOY058'!E21-'EMv3_spin_new_O-DOY058_DEs_All'!F21</f>
        <v>-2</v>
      </c>
      <c r="F21" s="1">
        <f>'O-imap_lo_I1b_histrates_DOY058'!F21-'EMv3_spin_new_O-DOY058_DEs_All'!G21</f>
        <v>0</v>
      </c>
      <c r="G21" s="1">
        <f>'O-imap_lo_I1b_histrates_DOY058'!G21-'EMv3_spin_new_O-DOY058_DEs_All'!H21</f>
        <v>0</v>
      </c>
      <c r="H21" s="1">
        <f>'O-imap_lo_I1b_histrates_DOY058'!H21-'EMv3_spin_new_O-DOY058_DEs_All'!I21</f>
        <v>0</v>
      </c>
      <c r="J21">
        <f t="shared" si="1"/>
        <v>105</v>
      </c>
    </row>
    <row r="22" spans="1:10" x14ac:dyDescent="0.2">
      <c r="A22">
        <v>18</v>
      </c>
      <c r="B22" s="1">
        <f>'O-imap_lo_I1b_histrates_DOY058'!B22-'EMv3_spin_new_O-DOY058_DEs_All'!C22</f>
        <v>0</v>
      </c>
      <c r="C22" s="1">
        <f>'O-imap_lo_I1b_histrates_DOY058'!C22-'EMv3_spin_new_O-DOY058_DEs_All'!D22</f>
        <v>1</v>
      </c>
      <c r="D22" s="1">
        <f>'O-imap_lo_I1b_histrates_DOY058'!D22-'EMv3_spin_new_O-DOY058_DEs_All'!E22</f>
        <v>-1</v>
      </c>
      <c r="E22" s="1">
        <f>'O-imap_lo_I1b_histrates_DOY058'!E22-'EMv3_spin_new_O-DOY058_DEs_All'!F22</f>
        <v>0</v>
      </c>
      <c r="F22" s="1">
        <f>'O-imap_lo_I1b_histrates_DOY058'!F22-'EMv3_spin_new_O-DOY058_DEs_All'!G22</f>
        <v>0</v>
      </c>
      <c r="G22" s="1">
        <f>'O-imap_lo_I1b_histrates_DOY058'!G22-'EMv3_spin_new_O-DOY058_DEs_All'!H22</f>
        <v>0</v>
      </c>
      <c r="H22" s="1">
        <f>'O-imap_lo_I1b_histrates_DOY058'!H22-'EMv3_spin_new_O-DOY058_DEs_All'!I22</f>
        <v>0</v>
      </c>
      <c r="J22">
        <f t="shared" si="1"/>
        <v>111</v>
      </c>
    </row>
    <row r="23" spans="1:10" x14ac:dyDescent="0.2">
      <c r="A23">
        <v>19</v>
      </c>
      <c r="B23" s="1">
        <f>'O-imap_lo_I1b_histrates_DOY058'!B23-'EMv3_spin_new_O-DOY058_DEs_All'!C23</f>
        <v>1</v>
      </c>
      <c r="C23" s="1">
        <f>'O-imap_lo_I1b_histrates_DOY058'!C23-'EMv3_spin_new_O-DOY058_DEs_All'!D23</f>
        <v>0</v>
      </c>
      <c r="D23" s="1">
        <f>'O-imap_lo_I1b_histrates_DOY058'!D23-'EMv3_spin_new_O-DOY058_DEs_All'!E23</f>
        <v>0</v>
      </c>
      <c r="E23" s="1">
        <f>'O-imap_lo_I1b_histrates_DOY058'!E23-'EMv3_spin_new_O-DOY058_DEs_All'!F23</f>
        <v>0</v>
      </c>
      <c r="F23" s="1">
        <f>'O-imap_lo_I1b_histrates_DOY058'!F23-'EMv3_spin_new_O-DOY058_DEs_All'!G23</f>
        <v>0</v>
      </c>
      <c r="G23" s="1">
        <f>'O-imap_lo_I1b_histrates_DOY058'!G23-'EMv3_spin_new_O-DOY058_DEs_All'!H23</f>
        <v>0</v>
      </c>
      <c r="H23" s="1">
        <f>'O-imap_lo_I1b_histrates_DOY058'!H23-'EMv3_spin_new_O-DOY058_DEs_All'!I23</f>
        <v>0</v>
      </c>
      <c r="J23">
        <f t="shared" si="1"/>
        <v>117</v>
      </c>
    </row>
    <row r="24" spans="1:10" x14ac:dyDescent="0.2">
      <c r="A24">
        <v>20</v>
      </c>
      <c r="B24" s="1">
        <f>'O-imap_lo_I1b_histrates_DOY058'!B24-'EMv3_spin_new_O-DOY058_DEs_All'!C24</f>
        <v>0</v>
      </c>
      <c r="C24" s="1">
        <f>'O-imap_lo_I1b_histrates_DOY058'!C24-'EMv3_spin_new_O-DOY058_DEs_All'!D24</f>
        <v>1</v>
      </c>
      <c r="D24" s="1">
        <f>'O-imap_lo_I1b_histrates_DOY058'!D24-'EMv3_spin_new_O-DOY058_DEs_All'!E24</f>
        <v>0</v>
      </c>
      <c r="E24" s="1">
        <f>'O-imap_lo_I1b_histrates_DOY058'!E24-'EMv3_spin_new_O-DOY058_DEs_All'!F24</f>
        <v>0</v>
      </c>
      <c r="F24" s="1">
        <f>'O-imap_lo_I1b_histrates_DOY058'!F24-'EMv3_spin_new_O-DOY058_DEs_All'!G24</f>
        <v>0</v>
      </c>
      <c r="G24" s="1">
        <f>'O-imap_lo_I1b_histrates_DOY058'!G24-'EMv3_spin_new_O-DOY058_DEs_All'!H24</f>
        <v>0</v>
      </c>
      <c r="H24" s="1">
        <f>'O-imap_lo_I1b_histrates_DOY058'!H24-'EMv3_spin_new_O-DOY058_DEs_All'!I24</f>
        <v>0</v>
      </c>
      <c r="J24">
        <f t="shared" si="1"/>
        <v>123</v>
      </c>
    </row>
    <row r="25" spans="1:10" x14ac:dyDescent="0.2">
      <c r="A25">
        <v>21</v>
      </c>
      <c r="B25" s="1">
        <f>'O-imap_lo_I1b_histrates_DOY058'!B25-'EMv3_spin_new_O-DOY058_DEs_All'!C25</f>
        <v>-1</v>
      </c>
      <c r="C25" s="1">
        <f>'O-imap_lo_I1b_histrates_DOY058'!C25-'EMv3_spin_new_O-DOY058_DEs_All'!D25</f>
        <v>-1</v>
      </c>
      <c r="D25" s="1">
        <f>'O-imap_lo_I1b_histrates_DOY058'!D25-'EMv3_spin_new_O-DOY058_DEs_All'!E25</f>
        <v>1</v>
      </c>
      <c r="E25" s="1">
        <f>'O-imap_lo_I1b_histrates_DOY058'!E25-'EMv3_spin_new_O-DOY058_DEs_All'!F25</f>
        <v>1</v>
      </c>
      <c r="F25" s="1">
        <f>'O-imap_lo_I1b_histrates_DOY058'!F25-'EMv3_spin_new_O-DOY058_DEs_All'!G25</f>
        <v>0</v>
      </c>
      <c r="G25" s="1">
        <f>'O-imap_lo_I1b_histrates_DOY058'!G25-'EMv3_spin_new_O-DOY058_DEs_All'!H25</f>
        <v>0</v>
      </c>
      <c r="H25" s="1">
        <f>'O-imap_lo_I1b_histrates_DOY058'!H25-'EMv3_spin_new_O-DOY058_DEs_All'!I25</f>
        <v>0</v>
      </c>
      <c r="J25">
        <f t="shared" si="1"/>
        <v>129</v>
      </c>
    </row>
    <row r="26" spans="1:10" x14ac:dyDescent="0.2">
      <c r="A26">
        <v>22</v>
      </c>
      <c r="B26" s="1">
        <f>'O-imap_lo_I1b_histrates_DOY058'!B26-'EMv3_spin_new_O-DOY058_DEs_All'!C26</f>
        <v>1</v>
      </c>
      <c r="C26" s="1">
        <f>'O-imap_lo_I1b_histrates_DOY058'!C26-'EMv3_spin_new_O-DOY058_DEs_All'!D26</f>
        <v>0</v>
      </c>
      <c r="D26" s="1">
        <f>'O-imap_lo_I1b_histrates_DOY058'!D26-'EMv3_spin_new_O-DOY058_DEs_All'!E26</f>
        <v>0</v>
      </c>
      <c r="E26" s="1">
        <f>'O-imap_lo_I1b_histrates_DOY058'!E26-'EMv3_spin_new_O-DOY058_DEs_All'!F26</f>
        <v>-1</v>
      </c>
      <c r="F26" s="1">
        <f>'O-imap_lo_I1b_histrates_DOY058'!F26-'EMv3_spin_new_O-DOY058_DEs_All'!G26</f>
        <v>0</v>
      </c>
      <c r="G26" s="1">
        <f>'O-imap_lo_I1b_histrates_DOY058'!G26-'EMv3_spin_new_O-DOY058_DEs_All'!H26</f>
        <v>0</v>
      </c>
      <c r="H26" s="1">
        <f>'O-imap_lo_I1b_histrates_DOY058'!H26-'EMv3_spin_new_O-DOY058_DEs_All'!I26</f>
        <v>1</v>
      </c>
      <c r="J26">
        <f t="shared" si="1"/>
        <v>135</v>
      </c>
    </row>
    <row r="27" spans="1:10" x14ac:dyDescent="0.2">
      <c r="A27">
        <v>23</v>
      </c>
      <c r="B27" s="1">
        <f>'O-imap_lo_I1b_histrates_DOY058'!B27-'EMv3_spin_new_O-DOY058_DEs_All'!C27</f>
        <v>0</v>
      </c>
      <c r="C27" s="1">
        <f>'O-imap_lo_I1b_histrates_DOY058'!C27-'EMv3_spin_new_O-DOY058_DEs_All'!D27</f>
        <v>0</v>
      </c>
      <c r="D27" s="1">
        <f>'O-imap_lo_I1b_histrates_DOY058'!D27-'EMv3_spin_new_O-DOY058_DEs_All'!E27</f>
        <v>0</v>
      </c>
      <c r="E27" s="1">
        <f>'O-imap_lo_I1b_histrates_DOY058'!E27-'EMv3_spin_new_O-DOY058_DEs_All'!F27</f>
        <v>0</v>
      </c>
      <c r="F27" s="1">
        <f>'O-imap_lo_I1b_histrates_DOY058'!F27-'EMv3_spin_new_O-DOY058_DEs_All'!G27</f>
        <v>0</v>
      </c>
      <c r="G27" s="1">
        <f>'O-imap_lo_I1b_histrates_DOY058'!G27-'EMv3_spin_new_O-DOY058_DEs_All'!H27</f>
        <v>0</v>
      </c>
      <c r="H27" s="1">
        <f>'O-imap_lo_I1b_histrates_DOY058'!H27-'EMv3_spin_new_O-DOY058_DEs_All'!I27</f>
        <v>0</v>
      </c>
      <c r="J27">
        <f t="shared" si="1"/>
        <v>141</v>
      </c>
    </row>
    <row r="28" spans="1:10" x14ac:dyDescent="0.2">
      <c r="A28">
        <v>24</v>
      </c>
      <c r="B28" s="1">
        <f>'O-imap_lo_I1b_histrates_DOY058'!B28-'EMv3_spin_new_O-DOY058_DEs_All'!C28</f>
        <v>0</v>
      </c>
      <c r="C28" s="1">
        <f>'O-imap_lo_I1b_histrates_DOY058'!C28-'EMv3_spin_new_O-DOY058_DEs_All'!D28</f>
        <v>0</v>
      </c>
      <c r="D28" s="1">
        <f>'O-imap_lo_I1b_histrates_DOY058'!D28-'EMv3_spin_new_O-DOY058_DEs_All'!E28</f>
        <v>0</v>
      </c>
      <c r="E28" s="1">
        <f>'O-imap_lo_I1b_histrates_DOY058'!E28-'EMv3_spin_new_O-DOY058_DEs_All'!F28</f>
        <v>0</v>
      </c>
      <c r="F28" s="1">
        <f>'O-imap_lo_I1b_histrates_DOY058'!F28-'EMv3_spin_new_O-DOY058_DEs_All'!G28</f>
        <v>0</v>
      </c>
      <c r="G28" s="1">
        <f>'O-imap_lo_I1b_histrates_DOY058'!G28-'EMv3_spin_new_O-DOY058_DEs_All'!H28</f>
        <v>0</v>
      </c>
      <c r="H28" s="1">
        <f>'O-imap_lo_I1b_histrates_DOY058'!H28-'EMv3_spin_new_O-DOY058_DEs_All'!I28</f>
        <v>0</v>
      </c>
      <c r="J28">
        <f t="shared" si="1"/>
        <v>147</v>
      </c>
    </row>
    <row r="29" spans="1:10" x14ac:dyDescent="0.2">
      <c r="A29">
        <v>25</v>
      </c>
      <c r="B29" s="1">
        <f>'O-imap_lo_I1b_histrates_DOY058'!B29-'EMv3_spin_new_O-DOY058_DEs_All'!C29</f>
        <v>0</v>
      </c>
      <c r="C29" s="1">
        <f>'O-imap_lo_I1b_histrates_DOY058'!C29-'EMv3_spin_new_O-DOY058_DEs_All'!D29</f>
        <v>0</v>
      </c>
      <c r="D29" s="1">
        <f>'O-imap_lo_I1b_histrates_DOY058'!D29-'EMv3_spin_new_O-DOY058_DEs_All'!E29</f>
        <v>0</v>
      </c>
      <c r="E29" s="1">
        <f>'O-imap_lo_I1b_histrates_DOY058'!E29-'EMv3_spin_new_O-DOY058_DEs_All'!F29</f>
        <v>0</v>
      </c>
      <c r="F29" s="1">
        <f>'O-imap_lo_I1b_histrates_DOY058'!F29-'EMv3_spin_new_O-DOY058_DEs_All'!G29</f>
        <v>0</v>
      </c>
      <c r="G29" s="1">
        <f>'O-imap_lo_I1b_histrates_DOY058'!G29-'EMv3_spin_new_O-DOY058_DEs_All'!H29</f>
        <v>0</v>
      </c>
      <c r="H29" s="1">
        <f>'O-imap_lo_I1b_histrates_DOY058'!H29-'EMv3_spin_new_O-DOY058_DEs_All'!I29</f>
        <v>0</v>
      </c>
      <c r="J29">
        <f t="shared" si="1"/>
        <v>153</v>
      </c>
    </row>
    <row r="30" spans="1:10" x14ac:dyDescent="0.2">
      <c r="A30">
        <v>26</v>
      </c>
      <c r="B30" s="1">
        <f>'O-imap_lo_I1b_histrates_DOY058'!B30-'EMv3_spin_new_O-DOY058_DEs_All'!C30</f>
        <v>0</v>
      </c>
      <c r="C30" s="1">
        <f>'O-imap_lo_I1b_histrates_DOY058'!C30-'EMv3_spin_new_O-DOY058_DEs_All'!D30</f>
        <v>0</v>
      </c>
      <c r="D30" s="1">
        <f>'O-imap_lo_I1b_histrates_DOY058'!D30-'EMv3_spin_new_O-DOY058_DEs_All'!E30</f>
        <v>0</v>
      </c>
      <c r="E30" s="1">
        <f>'O-imap_lo_I1b_histrates_DOY058'!E30-'EMv3_spin_new_O-DOY058_DEs_All'!F30</f>
        <v>0</v>
      </c>
      <c r="F30" s="1">
        <f>'O-imap_lo_I1b_histrates_DOY058'!F30-'EMv3_spin_new_O-DOY058_DEs_All'!G30</f>
        <v>0</v>
      </c>
      <c r="G30" s="1">
        <f>'O-imap_lo_I1b_histrates_DOY058'!G30-'EMv3_spin_new_O-DOY058_DEs_All'!H30</f>
        <v>0</v>
      </c>
      <c r="H30" s="1">
        <f>'O-imap_lo_I1b_histrates_DOY058'!H30-'EMv3_spin_new_O-DOY058_DEs_All'!I30</f>
        <v>0</v>
      </c>
      <c r="J30">
        <f t="shared" si="1"/>
        <v>159</v>
      </c>
    </row>
    <row r="31" spans="1:10" x14ac:dyDescent="0.2">
      <c r="A31">
        <v>27</v>
      </c>
      <c r="B31" s="1">
        <f>'O-imap_lo_I1b_histrates_DOY058'!B31-'EMv3_spin_new_O-DOY058_DEs_All'!C31</f>
        <v>0</v>
      </c>
      <c r="C31" s="1">
        <f>'O-imap_lo_I1b_histrates_DOY058'!C31-'EMv3_spin_new_O-DOY058_DEs_All'!D31</f>
        <v>0</v>
      </c>
      <c r="D31" s="1">
        <f>'O-imap_lo_I1b_histrates_DOY058'!D31-'EMv3_spin_new_O-DOY058_DEs_All'!E31</f>
        <v>0</v>
      </c>
      <c r="E31" s="1">
        <f>'O-imap_lo_I1b_histrates_DOY058'!E31-'EMv3_spin_new_O-DOY058_DEs_All'!F31</f>
        <v>0</v>
      </c>
      <c r="F31" s="1">
        <f>'O-imap_lo_I1b_histrates_DOY058'!F31-'EMv3_spin_new_O-DOY058_DEs_All'!G31</f>
        <v>0</v>
      </c>
      <c r="G31" s="1">
        <f>'O-imap_lo_I1b_histrates_DOY058'!G31-'EMv3_spin_new_O-DOY058_DEs_All'!H31</f>
        <v>0</v>
      </c>
      <c r="H31" s="1">
        <f>'O-imap_lo_I1b_histrates_DOY058'!H31-'EMv3_spin_new_O-DOY058_DEs_All'!I31</f>
        <v>0</v>
      </c>
      <c r="J31">
        <f t="shared" si="1"/>
        <v>165</v>
      </c>
    </row>
    <row r="32" spans="1:10" x14ac:dyDescent="0.2">
      <c r="A32">
        <v>28</v>
      </c>
      <c r="B32" s="1">
        <f>'O-imap_lo_I1b_histrates_DOY058'!B32-'EMv3_spin_new_O-DOY058_DEs_All'!C32</f>
        <v>0</v>
      </c>
      <c r="C32" s="1">
        <f>'O-imap_lo_I1b_histrates_DOY058'!C32-'EMv3_spin_new_O-DOY058_DEs_All'!D32</f>
        <v>0</v>
      </c>
      <c r="D32" s="1">
        <f>'O-imap_lo_I1b_histrates_DOY058'!D32-'EMv3_spin_new_O-DOY058_DEs_All'!E32</f>
        <v>0</v>
      </c>
      <c r="E32" s="1">
        <f>'O-imap_lo_I1b_histrates_DOY058'!E32-'EMv3_spin_new_O-DOY058_DEs_All'!F32</f>
        <v>0</v>
      </c>
      <c r="F32" s="1">
        <f>'O-imap_lo_I1b_histrates_DOY058'!F32-'EMv3_spin_new_O-DOY058_DEs_All'!G32</f>
        <v>0</v>
      </c>
      <c r="G32" s="1">
        <f>'O-imap_lo_I1b_histrates_DOY058'!G32-'EMv3_spin_new_O-DOY058_DEs_All'!H32</f>
        <v>0</v>
      </c>
      <c r="H32" s="1">
        <f>'O-imap_lo_I1b_histrates_DOY058'!H32-'EMv3_spin_new_O-DOY058_DEs_All'!I32</f>
        <v>0</v>
      </c>
      <c r="J32">
        <f t="shared" si="1"/>
        <v>171</v>
      </c>
    </row>
    <row r="33" spans="1:10" x14ac:dyDescent="0.2">
      <c r="A33">
        <v>29</v>
      </c>
      <c r="B33" s="1">
        <f>'O-imap_lo_I1b_histrates_DOY058'!B33-'EMv3_spin_new_O-DOY058_DEs_All'!C33</f>
        <v>0</v>
      </c>
      <c r="C33" s="1">
        <f>'O-imap_lo_I1b_histrates_DOY058'!C33-'EMv3_spin_new_O-DOY058_DEs_All'!D33</f>
        <v>0</v>
      </c>
      <c r="D33" s="1">
        <f>'O-imap_lo_I1b_histrates_DOY058'!D33-'EMv3_spin_new_O-DOY058_DEs_All'!E33</f>
        <v>0</v>
      </c>
      <c r="E33" s="1">
        <f>'O-imap_lo_I1b_histrates_DOY058'!E33-'EMv3_spin_new_O-DOY058_DEs_All'!F33</f>
        <v>0</v>
      </c>
      <c r="F33" s="1">
        <f>'O-imap_lo_I1b_histrates_DOY058'!F33-'EMv3_spin_new_O-DOY058_DEs_All'!G33</f>
        <v>0</v>
      </c>
      <c r="G33" s="1">
        <f>'O-imap_lo_I1b_histrates_DOY058'!G33-'EMv3_spin_new_O-DOY058_DEs_All'!H33</f>
        <v>0</v>
      </c>
      <c r="H33" s="1">
        <f>'O-imap_lo_I1b_histrates_DOY058'!H33-'EMv3_spin_new_O-DOY058_DEs_All'!I33</f>
        <v>0</v>
      </c>
      <c r="J33">
        <f t="shared" si="1"/>
        <v>177</v>
      </c>
    </row>
    <row r="34" spans="1:10" x14ac:dyDescent="0.2">
      <c r="A34">
        <v>30</v>
      </c>
      <c r="B34" s="1">
        <f>'O-imap_lo_I1b_histrates_DOY058'!B34-'EMv3_spin_new_O-DOY058_DEs_All'!C34</f>
        <v>0</v>
      </c>
      <c r="C34" s="1">
        <f>'O-imap_lo_I1b_histrates_DOY058'!C34-'EMv3_spin_new_O-DOY058_DEs_All'!D34</f>
        <v>0</v>
      </c>
      <c r="D34" s="1">
        <f>'O-imap_lo_I1b_histrates_DOY058'!D34-'EMv3_spin_new_O-DOY058_DEs_All'!E34</f>
        <v>1</v>
      </c>
      <c r="E34" s="1">
        <f>'O-imap_lo_I1b_histrates_DOY058'!E34-'EMv3_spin_new_O-DOY058_DEs_All'!F34</f>
        <v>0</v>
      </c>
      <c r="F34" s="1">
        <f>'O-imap_lo_I1b_histrates_DOY058'!F34-'EMv3_spin_new_O-DOY058_DEs_All'!G34</f>
        <v>0</v>
      </c>
      <c r="G34" s="1">
        <f>'O-imap_lo_I1b_histrates_DOY058'!G34-'EMv3_spin_new_O-DOY058_DEs_All'!H34</f>
        <v>0</v>
      </c>
      <c r="H34" s="1">
        <f>'O-imap_lo_I1b_histrates_DOY058'!H34-'EMv3_spin_new_O-DOY058_DEs_All'!I34</f>
        <v>0</v>
      </c>
      <c r="J34">
        <f t="shared" si="1"/>
        <v>183</v>
      </c>
    </row>
    <row r="35" spans="1:10" x14ac:dyDescent="0.2">
      <c r="A35">
        <v>31</v>
      </c>
      <c r="B35" s="1">
        <f>'O-imap_lo_I1b_histrates_DOY058'!B35-'EMv3_spin_new_O-DOY058_DEs_All'!C35</f>
        <v>0</v>
      </c>
      <c r="C35" s="1">
        <f>'O-imap_lo_I1b_histrates_DOY058'!C35-'EMv3_spin_new_O-DOY058_DEs_All'!D35</f>
        <v>0</v>
      </c>
      <c r="D35" s="1">
        <f>'O-imap_lo_I1b_histrates_DOY058'!D35-'EMv3_spin_new_O-DOY058_DEs_All'!E35</f>
        <v>0</v>
      </c>
      <c r="E35" s="1">
        <f>'O-imap_lo_I1b_histrates_DOY058'!E35-'EMv3_spin_new_O-DOY058_DEs_All'!F35</f>
        <v>0</v>
      </c>
      <c r="F35" s="1">
        <f>'O-imap_lo_I1b_histrates_DOY058'!F35-'EMv3_spin_new_O-DOY058_DEs_All'!G35</f>
        <v>0</v>
      </c>
      <c r="G35" s="1">
        <f>'O-imap_lo_I1b_histrates_DOY058'!G35-'EMv3_spin_new_O-DOY058_DEs_All'!H35</f>
        <v>0</v>
      </c>
      <c r="H35" s="1">
        <f>'O-imap_lo_I1b_histrates_DOY058'!H35-'EMv3_spin_new_O-DOY058_DEs_All'!I35</f>
        <v>0</v>
      </c>
      <c r="J35">
        <f t="shared" si="1"/>
        <v>189</v>
      </c>
    </row>
    <row r="36" spans="1:10" x14ac:dyDescent="0.2">
      <c r="A36">
        <v>32</v>
      </c>
      <c r="B36" s="1">
        <f>'O-imap_lo_I1b_histrates_DOY058'!B36-'EMv3_spin_new_O-DOY058_DEs_All'!C36</f>
        <v>0</v>
      </c>
      <c r="C36" s="1">
        <f>'O-imap_lo_I1b_histrates_DOY058'!C36-'EMv3_spin_new_O-DOY058_DEs_All'!D36</f>
        <v>0</v>
      </c>
      <c r="D36" s="1">
        <f>'O-imap_lo_I1b_histrates_DOY058'!D36-'EMv3_spin_new_O-DOY058_DEs_All'!E36</f>
        <v>0</v>
      </c>
      <c r="E36" s="1">
        <f>'O-imap_lo_I1b_histrates_DOY058'!E36-'EMv3_spin_new_O-DOY058_DEs_All'!F36</f>
        <v>0</v>
      </c>
      <c r="F36" s="1">
        <f>'O-imap_lo_I1b_histrates_DOY058'!F36-'EMv3_spin_new_O-DOY058_DEs_All'!G36</f>
        <v>1</v>
      </c>
      <c r="G36" s="1">
        <f>'O-imap_lo_I1b_histrates_DOY058'!G36-'EMv3_spin_new_O-DOY058_DEs_All'!H36</f>
        <v>0</v>
      </c>
      <c r="H36" s="1">
        <f>'O-imap_lo_I1b_histrates_DOY058'!H36-'EMv3_spin_new_O-DOY058_DEs_All'!I36</f>
        <v>0</v>
      </c>
      <c r="J36">
        <f t="shared" si="1"/>
        <v>195</v>
      </c>
    </row>
    <row r="37" spans="1:10" x14ac:dyDescent="0.2">
      <c r="A37">
        <v>33</v>
      </c>
      <c r="B37" s="1">
        <f>'O-imap_lo_I1b_histrates_DOY058'!B37-'EMv3_spin_new_O-DOY058_DEs_All'!C37</f>
        <v>0</v>
      </c>
      <c r="C37" s="1">
        <f>'O-imap_lo_I1b_histrates_DOY058'!C37-'EMv3_spin_new_O-DOY058_DEs_All'!D37</f>
        <v>0</v>
      </c>
      <c r="D37" s="1">
        <f>'O-imap_lo_I1b_histrates_DOY058'!D37-'EMv3_spin_new_O-DOY058_DEs_All'!E37</f>
        <v>0</v>
      </c>
      <c r="E37" s="1">
        <f>'O-imap_lo_I1b_histrates_DOY058'!E37-'EMv3_spin_new_O-DOY058_DEs_All'!F37</f>
        <v>0</v>
      </c>
      <c r="F37" s="1">
        <f>'O-imap_lo_I1b_histrates_DOY058'!F37-'EMv3_spin_new_O-DOY058_DEs_All'!G37</f>
        <v>-1</v>
      </c>
      <c r="G37" s="1">
        <f>'O-imap_lo_I1b_histrates_DOY058'!G37-'EMv3_spin_new_O-DOY058_DEs_All'!H37</f>
        <v>0</v>
      </c>
      <c r="H37" s="1">
        <f>'O-imap_lo_I1b_histrates_DOY058'!H37-'EMv3_spin_new_O-DOY058_DEs_All'!I37</f>
        <v>2</v>
      </c>
      <c r="J37">
        <f t="shared" si="1"/>
        <v>201</v>
      </c>
    </row>
    <row r="38" spans="1:10" x14ac:dyDescent="0.2">
      <c r="A38">
        <v>34</v>
      </c>
      <c r="B38" s="1">
        <f>'O-imap_lo_I1b_histrates_DOY058'!B38-'EMv3_spin_new_O-DOY058_DEs_All'!C38</f>
        <v>0</v>
      </c>
      <c r="C38" s="1">
        <f>'O-imap_lo_I1b_histrates_DOY058'!C38-'EMv3_spin_new_O-DOY058_DEs_All'!D38</f>
        <v>0</v>
      </c>
      <c r="D38" s="1">
        <f>'O-imap_lo_I1b_histrates_DOY058'!D38-'EMv3_spin_new_O-DOY058_DEs_All'!E38</f>
        <v>0</v>
      </c>
      <c r="E38" s="1">
        <f>'O-imap_lo_I1b_histrates_DOY058'!E38-'EMv3_spin_new_O-DOY058_DEs_All'!F38</f>
        <v>0</v>
      </c>
      <c r="F38" s="1">
        <f>'O-imap_lo_I1b_histrates_DOY058'!F38-'EMv3_spin_new_O-DOY058_DEs_All'!G38</f>
        <v>0</v>
      </c>
      <c r="G38" s="1">
        <f>'O-imap_lo_I1b_histrates_DOY058'!G38-'EMv3_spin_new_O-DOY058_DEs_All'!H38</f>
        <v>0</v>
      </c>
      <c r="H38" s="1">
        <f>'O-imap_lo_I1b_histrates_DOY058'!H38-'EMv3_spin_new_O-DOY058_DEs_All'!I38</f>
        <v>-1</v>
      </c>
      <c r="J38">
        <f t="shared" si="1"/>
        <v>207</v>
      </c>
    </row>
    <row r="39" spans="1:10" x14ac:dyDescent="0.2">
      <c r="A39">
        <v>35</v>
      </c>
      <c r="B39" s="1">
        <f>'O-imap_lo_I1b_histrates_DOY058'!B39-'EMv3_spin_new_O-DOY058_DEs_All'!C39</f>
        <v>0</v>
      </c>
      <c r="C39" s="1">
        <f>'O-imap_lo_I1b_histrates_DOY058'!C39-'EMv3_spin_new_O-DOY058_DEs_All'!D39</f>
        <v>0</v>
      </c>
      <c r="D39" s="1">
        <f>'O-imap_lo_I1b_histrates_DOY058'!D39-'EMv3_spin_new_O-DOY058_DEs_All'!E39</f>
        <v>0</v>
      </c>
      <c r="E39" s="1">
        <f>'O-imap_lo_I1b_histrates_DOY058'!E39-'EMv3_spin_new_O-DOY058_DEs_All'!F39</f>
        <v>0</v>
      </c>
      <c r="F39" s="1">
        <f>'O-imap_lo_I1b_histrates_DOY058'!F39-'EMv3_spin_new_O-DOY058_DEs_All'!G39</f>
        <v>0</v>
      </c>
      <c r="G39" s="1">
        <f>'O-imap_lo_I1b_histrates_DOY058'!G39-'EMv3_spin_new_O-DOY058_DEs_All'!H39</f>
        <v>0</v>
      </c>
      <c r="H39" s="1">
        <f>'O-imap_lo_I1b_histrates_DOY058'!H39-'EMv3_spin_new_O-DOY058_DEs_All'!I39</f>
        <v>1</v>
      </c>
      <c r="J39">
        <f t="shared" si="1"/>
        <v>213</v>
      </c>
    </row>
    <row r="40" spans="1:10" x14ac:dyDescent="0.2">
      <c r="A40">
        <v>36</v>
      </c>
      <c r="B40" s="1">
        <f>'O-imap_lo_I1b_histrates_DOY058'!B40-'EMv3_spin_new_O-DOY058_DEs_All'!C40</f>
        <v>0</v>
      </c>
      <c r="C40" s="1">
        <f>'O-imap_lo_I1b_histrates_DOY058'!C40-'EMv3_spin_new_O-DOY058_DEs_All'!D40</f>
        <v>1</v>
      </c>
      <c r="D40" s="1">
        <f>'O-imap_lo_I1b_histrates_DOY058'!D40-'EMv3_spin_new_O-DOY058_DEs_All'!E40</f>
        <v>0</v>
      </c>
      <c r="E40" s="1">
        <f>'O-imap_lo_I1b_histrates_DOY058'!E40-'EMv3_spin_new_O-DOY058_DEs_All'!F40</f>
        <v>0</v>
      </c>
      <c r="F40" s="1">
        <f>'O-imap_lo_I1b_histrates_DOY058'!F40-'EMv3_spin_new_O-DOY058_DEs_All'!G40</f>
        <v>0</v>
      </c>
      <c r="G40" s="1">
        <f>'O-imap_lo_I1b_histrates_DOY058'!G40-'EMv3_spin_new_O-DOY058_DEs_All'!H40</f>
        <v>0</v>
      </c>
      <c r="H40" s="1">
        <f>'O-imap_lo_I1b_histrates_DOY058'!H40-'EMv3_spin_new_O-DOY058_DEs_All'!I40</f>
        <v>-1</v>
      </c>
      <c r="J40">
        <f t="shared" si="1"/>
        <v>219</v>
      </c>
    </row>
    <row r="41" spans="1:10" x14ac:dyDescent="0.2">
      <c r="A41">
        <v>37</v>
      </c>
      <c r="B41" s="1">
        <f>'O-imap_lo_I1b_histrates_DOY058'!B41-'EMv3_spin_new_O-DOY058_DEs_All'!C41</f>
        <v>0</v>
      </c>
      <c r="C41" s="1">
        <f>'O-imap_lo_I1b_histrates_DOY058'!C41-'EMv3_spin_new_O-DOY058_DEs_All'!D41</f>
        <v>0</v>
      </c>
      <c r="D41" s="1">
        <f>'O-imap_lo_I1b_histrates_DOY058'!D41-'EMv3_spin_new_O-DOY058_DEs_All'!E41</f>
        <v>0</v>
      </c>
      <c r="E41" s="1">
        <f>'O-imap_lo_I1b_histrates_DOY058'!E41-'EMv3_spin_new_O-DOY058_DEs_All'!F41</f>
        <v>1</v>
      </c>
      <c r="F41" s="1">
        <f>'O-imap_lo_I1b_histrates_DOY058'!F41-'EMv3_spin_new_O-DOY058_DEs_All'!G41</f>
        <v>0</v>
      </c>
      <c r="G41" s="1">
        <f>'O-imap_lo_I1b_histrates_DOY058'!G41-'EMv3_spin_new_O-DOY058_DEs_All'!H41</f>
        <v>0</v>
      </c>
      <c r="H41" s="1">
        <f>'O-imap_lo_I1b_histrates_DOY058'!H41-'EMv3_spin_new_O-DOY058_DEs_All'!I41</f>
        <v>0</v>
      </c>
      <c r="J41">
        <f t="shared" si="1"/>
        <v>225</v>
      </c>
    </row>
    <row r="42" spans="1:10" x14ac:dyDescent="0.2">
      <c r="A42">
        <v>38</v>
      </c>
      <c r="B42" s="1">
        <f>'O-imap_lo_I1b_histrates_DOY058'!B42-'EMv3_spin_new_O-DOY058_DEs_All'!C42</f>
        <v>0</v>
      </c>
      <c r="C42" s="1">
        <f>'O-imap_lo_I1b_histrates_DOY058'!C42-'EMv3_spin_new_O-DOY058_DEs_All'!D42</f>
        <v>0</v>
      </c>
      <c r="D42" s="1">
        <f>'O-imap_lo_I1b_histrates_DOY058'!D42-'EMv3_spin_new_O-DOY058_DEs_All'!E42</f>
        <v>0</v>
      </c>
      <c r="E42" s="1">
        <f>'O-imap_lo_I1b_histrates_DOY058'!E42-'EMv3_spin_new_O-DOY058_DEs_All'!F42</f>
        <v>-1</v>
      </c>
      <c r="F42" s="1">
        <f>'O-imap_lo_I1b_histrates_DOY058'!F42-'EMv3_spin_new_O-DOY058_DEs_All'!G42</f>
        <v>0</v>
      </c>
      <c r="G42" s="1">
        <f>'O-imap_lo_I1b_histrates_DOY058'!G42-'EMv3_spin_new_O-DOY058_DEs_All'!H42</f>
        <v>0</v>
      </c>
      <c r="H42" s="1">
        <f>'O-imap_lo_I1b_histrates_DOY058'!H42-'EMv3_spin_new_O-DOY058_DEs_All'!I42</f>
        <v>0</v>
      </c>
      <c r="J42">
        <f t="shared" si="1"/>
        <v>231</v>
      </c>
    </row>
    <row r="43" spans="1:10" x14ac:dyDescent="0.2">
      <c r="A43">
        <v>39</v>
      </c>
      <c r="B43" s="1">
        <f>'O-imap_lo_I1b_histrates_DOY058'!B43-'EMv3_spin_new_O-DOY058_DEs_All'!C43</f>
        <v>0</v>
      </c>
      <c r="C43" s="1">
        <f>'O-imap_lo_I1b_histrates_DOY058'!C43-'EMv3_spin_new_O-DOY058_DEs_All'!D43</f>
        <v>0</v>
      </c>
      <c r="D43" s="1">
        <f>'O-imap_lo_I1b_histrates_DOY058'!D43-'EMv3_spin_new_O-DOY058_DEs_All'!E43</f>
        <v>0</v>
      </c>
      <c r="E43" s="1">
        <f>'O-imap_lo_I1b_histrates_DOY058'!E43-'EMv3_spin_new_O-DOY058_DEs_All'!F43</f>
        <v>0</v>
      </c>
      <c r="F43" s="1">
        <f>'O-imap_lo_I1b_histrates_DOY058'!F43-'EMv3_spin_new_O-DOY058_DEs_All'!G43</f>
        <v>0</v>
      </c>
      <c r="G43" s="1">
        <f>'O-imap_lo_I1b_histrates_DOY058'!G43-'EMv3_spin_new_O-DOY058_DEs_All'!H43</f>
        <v>0</v>
      </c>
      <c r="H43" s="1">
        <f>'O-imap_lo_I1b_histrates_DOY058'!H43-'EMv3_spin_new_O-DOY058_DEs_All'!I43</f>
        <v>0</v>
      </c>
      <c r="J43">
        <f t="shared" si="1"/>
        <v>237</v>
      </c>
    </row>
    <row r="44" spans="1:10" x14ac:dyDescent="0.2">
      <c r="A44">
        <v>40</v>
      </c>
      <c r="B44" s="1">
        <f>'O-imap_lo_I1b_histrates_DOY058'!B44-'EMv3_spin_new_O-DOY058_DEs_All'!C44</f>
        <v>0</v>
      </c>
      <c r="C44" s="1">
        <f>'O-imap_lo_I1b_histrates_DOY058'!C44-'EMv3_spin_new_O-DOY058_DEs_All'!D44</f>
        <v>0</v>
      </c>
      <c r="D44" s="1">
        <f>'O-imap_lo_I1b_histrates_DOY058'!D44-'EMv3_spin_new_O-DOY058_DEs_All'!E44</f>
        <v>0</v>
      </c>
      <c r="E44" s="1">
        <f>'O-imap_lo_I1b_histrates_DOY058'!E44-'EMv3_spin_new_O-DOY058_DEs_All'!F44</f>
        <v>0</v>
      </c>
      <c r="F44" s="1">
        <f>'O-imap_lo_I1b_histrates_DOY058'!F44-'EMv3_spin_new_O-DOY058_DEs_All'!G44</f>
        <v>0</v>
      </c>
      <c r="G44" s="1">
        <f>'O-imap_lo_I1b_histrates_DOY058'!G44-'EMv3_spin_new_O-DOY058_DEs_All'!H44</f>
        <v>0</v>
      </c>
      <c r="H44" s="1">
        <f>'O-imap_lo_I1b_histrates_DOY058'!H44-'EMv3_spin_new_O-DOY058_DEs_All'!I44</f>
        <v>0</v>
      </c>
      <c r="J44">
        <f t="shared" si="1"/>
        <v>243</v>
      </c>
    </row>
    <row r="45" spans="1:10" x14ac:dyDescent="0.2">
      <c r="A45">
        <v>41</v>
      </c>
      <c r="B45" s="1">
        <f>'O-imap_lo_I1b_histrates_DOY058'!B45-'EMv3_spin_new_O-DOY058_DEs_All'!C45</f>
        <v>0</v>
      </c>
      <c r="C45" s="1">
        <f>'O-imap_lo_I1b_histrates_DOY058'!C45-'EMv3_spin_new_O-DOY058_DEs_All'!D45</f>
        <v>0</v>
      </c>
      <c r="D45" s="1">
        <f>'O-imap_lo_I1b_histrates_DOY058'!D45-'EMv3_spin_new_O-DOY058_DEs_All'!E45</f>
        <v>0</v>
      </c>
      <c r="E45" s="1">
        <f>'O-imap_lo_I1b_histrates_DOY058'!E45-'EMv3_spin_new_O-DOY058_DEs_All'!F45</f>
        <v>0</v>
      </c>
      <c r="F45" s="1">
        <f>'O-imap_lo_I1b_histrates_DOY058'!F45-'EMv3_spin_new_O-DOY058_DEs_All'!G45</f>
        <v>0</v>
      </c>
      <c r="G45" s="1">
        <f>'O-imap_lo_I1b_histrates_DOY058'!G45-'EMv3_spin_new_O-DOY058_DEs_All'!H45</f>
        <v>0</v>
      </c>
      <c r="H45" s="1">
        <f>'O-imap_lo_I1b_histrates_DOY058'!H45-'EMv3_spin_new_O-DOY058_DEs_All'!I45</f>
        <v>1</v>
      </c>
      <c r="J45">
        <f t="shared" si="1"/>
        <v>249</v>
      </c>
    </row>
    <row r="46" spans="1:10" x14ac:dyDescent="0.2">
      <c r="A46">
        <v>42</v>
      </c>
      <c r="B46" s="1">
        <f>'O-imap_lo_I1b_histrates_DOY058'!B46-'EMv3_spin_new_O-DOY058_DEs_All'!C46</f>
        <v>0</v>
      </c>
      <c r="C46" s="1">
        <f>'O-imap_lo_I1b_histrates_DOY058'!C46-'EMv3_spin_new_O-DOY058_DEs_All'!D46</f>
        <v>0</v>
      </c>
      <c r="D46" s="1">
        <f>'O-imap_lo_I1b_histrates_DOY058'!D46-'EMv3_spin_new_O-DOY058_DEs_All'!E46</f>
        <v>0</v>
      </c>
      <c r="E46" s="1">
        <f>'O-imap_lo_I1b_histrates_DOY058'!E46-'EMv3_spin_new_O-DOY058_DEs_All'!F46</f>
        <v>0</v>
      </c>
      <c r="F46" s="1">
        <f>'O-imap_lo_I1b_histrates_DOY058'!F46-'EMv3_spin_new_O-DOY058_DEs_All'!G46</f>
        <v>0</v>
      </c>
      <c r="G46" s="1">
        <f>'O-imap_lo_I1b_histrates_DOY058'!G46-'EMv3_spin_new_O-DOY058_DEs_All'!H46</f>
        <v>0</v>
      </c>
      <c r="H46" s="1">
        <f>'O-imap_lo_I1b_histrates_DOY058'!H46-'EMv3_spin_new_O-DOY058_DEs_All'!I46</f>
        <v>0</v>
      </c>
      <c r="J46">
        <f t="shared" si="1"/>
        <v>255</v>
      </c>
    </row>
    <row r="47" spans="1:10" x14ac:dyDescent="0.2">
      <c r="A47">
        <v>43</v>
      </c>
      <c r="B47" s="1">
        <f>'O-imap_lo_I1b_histrates_DOY058'!B47-'EMv3_spin_new_O-DOY058_DEs_All'!C47</f>
        <v>0</v>
      </c>
      <c r="C47" s="1">
        <f>'O-imap_lo_I1b_histrates_DOY058'!C47-'EMv3_spin_new_O-DOY058_DEs_All'!D47</f>
        <v>0</v>
      </c>
      <c r="D47" s="1">
        <f>'O-imap_lo_I1b_histrates_DOY058'!D47-'EMv3_spin_new_O-DOY058_DEs_All'!E47</f>
        <v>0</v>
      </c>
      <c r="E47" s="1">
        <f>'O-imap_lo_I1b_histrates_DOY058'!E47-'EMv3_spin_new_O-DOY058_DEs_All'!F47</f>
        <v>0</v>
      </c>
      <c r="F47" s="1">
        <f>'O-imap_lo_I1b_histrates_DOY058'!F47-'EMv3_spin_new_O-DOY058_DEs_All'!G47</f>
        <v>0</v>
      </c>
      <c r="G47" s="1">
        <f>'O-imap_lo_I1b_histrates_DOY058'!G47-'EMv3_spin_new_O-DOY058_DEs_All'!H47</f>
        <v>0</v>
      </c>
      <c r="H47" s="1">
        <f>'O-imap_lo_I1b_histrates_DOY058'!H47-'EMv3_spin_new_O-DOY058_DEs_All'!I47</f>
        <v>0</v>
      </c>
      <c r="J47">
        <f t="shared" si="1"/>
        <v>261</v>
      </c>
    </row>
    <row r="48" spans="1:10" x14ac:dyDescent="0.2">
      <c r="A48">
        <v>44</v>
      </c>
      <c r="B48" s="1">
        <f>'O-imap_lo_I1b_histrates_DOY058'!B48-'EMv3_spin_new_O-DOY058_DEs_All'!C48</f>
        <v>0</v>
      </c>
      <c r="C48" s="1">
        <f>'O-imap_lo_I1b_histrates_DOY058'!C48-'EMv3_spin_new_O-DOY058_DEs_All'!D48</f>
        <v>0</v>
      </c>
      <c r="D48" s="1">
        <f>'O-imap_lo_I1b_histrates_DOY058'!D48-'EMv3_spin_new_O-DOY058_DEs_All'!E48</f>
        <v>0</v>
      </c>
      <c r="E48" s="1">
        <f>'O-imap_lo_I1b_histrates_DOY058'!E48-'EMv3_spin_new_O-DOY058_DEs_All'!F48</f>
        <v>1</v>
      </c>
      <c r="F48" s="1">
        <f>'O-imap_lo_I1b_histrates_DOY058'!F48-'EMv3_spin_new_O-DOY058_DEs_All'!G48</f>
        <v>0</v>
      </c>
      <c r="G48" s="1">
        <f>'O-imap_lo_I1b_histrates_DOY058'!G48-'EMv3_spin_new_O-DOY058_DEs_All'!H48</f>
        <v>0</v>
      </c>
      <c r="H48" s="1">
        <f>'O-imap_lo_I1b_histrates_DOY058'!H48-'EMv3_spin_new_O-DOY058_DEs_All'!I48</f>
        <v>0</v>
      </c>
      <c r="J48">
        <f t="shared" si="1"/>
        <v>267</v>
      </c>
    </row>
    <row r="49" spans="1:10" x14ac:dyDescent="0.2">
      <c r="A49">
        <v>45</v>
      </c>
      <c r="B49" s="1">
        <f>'O-imap_lo_I1b_histrates_DOY058'!B49-'EMv3_spin_new_O-DOY058_DEs_All'!C49</f>
        <v>0</v>
      </c>
      <c r="C49" s="1">
        <f>'O-imap_lo_I1b_histrates_DOY058'!C49-'EMv3_spin_new_O-DOY058_DEs_All'!D49</f>
        <v>0</v>
      </c>
      <c r="D49" s="1">
        <f>'O-imap_lo_I1b_histrates_DOY058'!D49-'EMv3_spin_new_O-DOY058_DEs_All'!E49</f>
        <v>0</v>
      </c>
      <c r="E49" s="1">
        <f>'O-imap_lo_I1b_histrates_DOY058'!E49-'EMv3_spin_new_O-DOY058_DEs_All'!F49</f>
        <v>0</v>
      </c>
      <c r="F49" s="1">
        <f>'O-imap_lo_I1b_histrates_DOY058'!F49-'EMv3_spin_new_O-DOY058_DEs_All'!G49</f>
        <v>0</v>
      </c>
      <c r="G49" s="1">
        <f>'O-imap_lo_I1b_histrates_DOY058'!G49-'EMv3_spin_new_O-DOY058_DEs_All'!H49</f>
        <v>0</v>
      </c>
      <c r="H49" s="1">
        <f>'O-imap_lo_I1b_histrates_DOY058'!H49-'EMv3_spin_new_O-DOY058_DEs_All'!I49</f>
        <v>0</v>
      </c>
      <c r="J49">
        <f t="shared" si="1"/>
        <v>273</v>
      </c>
    </row>
    <row r="50" spans="1:10" x14ac:dyDescent="0.2">
      <c r="A50">
        <v>46</v>
      </c>
      <c r="B50" s="1">
        <f>'O-imap_lo_I1b_histrates_DOY058'!B50-'EMv3_spin_new_O-DOY058_DEs_All'!C50</f>
        <v>0</v>
      </c>
      <c r="C50" s="1">
        <f>'O-imap_lo_I1b_histrates_DOY058'!C50-'EMv3_spin_new_O-DOY058_DEs_All'!D50</f>
        <v>0</v>
      </c>
      <c r="D50" s="1">
        <f>'O-imap_lo_I1b_histrates_DOY058'!D50-'EMv3_spin_new_O-DOY058_DEs_All'!E50</f>
        <v>0</v>
      </c>
      <c r="E50" s="1">
        <f>'O-imap_lo_I1b_histrates_DOY058'!E50-'EMv3_spin_new_O-DOY058_DEs_All'!F50</f>
        <v>0</v>
      </c>
      <c r="F50" s="1">
        <f>'O-imap_lo_I1b_histrates_DOY058'!F50-'EMv3_spin_new_O-DOY058_DEs_All'!G50</f>
        <v>0</v>
      </c>
      <c r="G50" s="1">
        <f>'O-imap_lo_I1b_histrates_DOY058'!G50-'EMv3_spin_new_O-DOY058_DEs_All'!H50</f>
        <v>0</v>
      </c>
      <c r="H50" s="1">
        <f>'O-imap_lo_I1b_histrates_DOY058'!H50-'EMv3_spin_new_O-DOY058_DEs_All'!I50</f>
        <v>0</v>
      </c>
      <c r="J50">
        <f t="shared" si="1"/>
        <v>279</v>
      </c>
    </row>
    <row r="51" spans="1:10" x14ac:dyDescent="0.2">
      <c r="A51">
        <v>47</v>
      </c>
      <c r="B51" s="1">
        <f>'O-imap_lo_I1b_histrates_DOY058'!B51-'EMv3_spin_new_O-DOY058_DEs_All'!C51</f>
        <v>0</v>
      </c>
      <c r="C51" s="1">
        <f>'O-imap_lo_I1b_histrates_DOY058'!C51-'EMv3_spin_new_O-DOY058_DEs_All'!D51</f>
        <v>0</v>
      </c>
      <c r="D51" s="1">
        <f>'O-imap_lo_I1b_histrates_DOY058'!D51-'EMv3_spin_new_O-DOY058_DEs_All'!E51</f>
        <v>0</v>
      </c>
      <c r="E51" s="1">
        <f>'O-imap_lo_I1b_histrates_DOY058'!E51-'EMv3_spin_new_O-DOY058_DEs_All'!F51</f>
        <v>0</v>
      </c>
      <c r="F51" s="1">
        <f>'O-imap_lo_I1b_histrates_DOY058'!F51-'EMv3_spin_new_O-DOY058_DEs_All'!G51</f>
        <v>1</v>
      </c>
      <c r="G51" s="1">
        <f>'O-imap_lo_I1b_histrates_DOY058'!G51-'EMv3_spin_new_O-DOY058_DEs_All'!H51</f>
        <v>0</v>
      </c>
      <c r="H51" s="1">
        <f>'O-imap_lo_I1b_histrates_DOY058'!H51-'EMv3_spin_new_O-DOY058_DEs_All'!I51</f>
        <v>0</v>
      </c>
      <c r="J51">
        <f t="shared" si="1"/>
        <v>285</v>
      </c>
    </row>
    <row r="52" spans="1:10" x14ac:dyDescent="0.2">
      <c r="A52">
        <v>48</v>
      </c>
      <c r="B52" s="1">
        <f>'O-imap_lo_I1b_histrates_DOY058'!B52-'EMv3_spin_new_O-DOY058_DEs_All'!C52</f>
        <v>0</v>
      </c>
      <c r="C52" s="1">
        <f>'O-imap_lo_I1b_histrates_DOY058'!C52-'EMv3_spin_new_O-DOY058_DEs_All'!D52</f>
        <v>0</v>
      </c>
      <c r="D52" s="1">
        <f>'O-imap_lo_I1b_histrates_DOY058'!D52-'EMv3_spin_new_O-DOY058_DEs_All'!E52</f>
        <v>0</v>
      </c>
      <c r="E52" s="1">
        <f>'O-imap_lo_I1b_histrates_DOY058'!E52-'EMv3_spin_new_O-DOY058_DEs_All'!F52</f>
        <v>0</v>
      </c>
      <c r="F52" s="1">
        <f>'O-imap_lo_I1b_histrates_DOY058'!F52-'EMv3_spin_new_O-DOY058_DEs_All'!G52</f>
        <v>0</v>
      </c>
      <c r="G52" s="1">
        <f>'O-imap_lo_I1b_histrates_DOY058'!G52-'EMv3_spin_new_O-DOY058_DEs_All'!H52</f>
        <v>0</v>
      </c>
      <c r="H52" s="1">
        <f>'O-imap_lo_I1b_histrates_DOY058'!H52-'EMv3_spin_new_O-DOY058_DEs_All'!I52</f>
        <v>0</v>
      </c>
      <c r="J52">
        <f t="shared" si="1"/>
        <v>291</v>
      </c>
    </row>
    <row r="53" spans="1:10" x14ac:dyDescent="0.2">
      <c r="A53">
        <v>49</v>
      </c>
      <c r="B53" s="1">
        <f>'O-imap_lo_I1b_histrates_DOY058'!B53-'EMv3_spin_new_O-DOY058_DEs_All'!C53</f>
        <v>0</v>
      </c>
      <c r="C53" s="1">
        <f>'O-imap_lo_I1b_histrates_DOY058'!C53-'EMv3_spin_new_O-DOY058_DEs_All'!D53</f>
        <v>0</v>
      </c>
      <c r="D53" s="1">
        <f>'O-imap_lo_I1b_histrates_DOY058'!D53-'EMv3_spin_new_O-DOY058_DEs_All'!E53</f>
        <v>1</v>
      </c>
      <c r="E53" s="1">
        <f>'O-imap_lo_I1b_histrates_DOY058'!E53-'EMv3_spin_new_O-DOY058_DEs_All'!F53</f>
        <v>0</v>
      </c>
      <c r="F53" s="1">
        <f>'O-imap_lo_I1b_histrates_DOY058'!F53-'EMv3_spin_new_O-DOY058_DEs_All'!G53</f>
        <v>0</v>
      </c>
      <c r="G53" s="1">
        <f>'O-imap_lo_I1b_histrates_DOY058'!G53-'EMv3_spin_new_O-DOY058_DEs_All'!H53</f>
        <v>0</v>
      </c>
      <c r="H53" s="1">
        <f>'O-imap_lo_I1b_histrates_DOY058'!H53-'EMv3_spin_new_O-DOY058_DEs_All'!I53</f>
        <v>0</v>
      </c>
      <c r="J53">
        <f t="shared" si="1"/>
        <v>297</v>
      </c>
    </row>
    <row r="54" spans="1:10" x14ac:dyDescent="0.2">
      <c r="A54">
        <v>50</v>
      </c>
      <c r="B54" s="1">
        <f>'O-imap_lo_I1b_histrates_DOY058'!B54-'EMv3_spin_new_O-DOY058_DEs_All'!C54</f>
        <v>0</v>
      </c>
      <c r="C54" s="1">
        <f>'O-imap_lo_I1b_histrates_DOY058'!C54-'EMv3_spin_new_O-DOY058_DEs_All'!D54</f>
        <v>0</v>
      </c>
      <c r="D54" s="1">
        <f>'O-imap_lo_I1b_histrates_DOY058'!D54-'EMv3_spin_new_O-DOY058_DEs_All'!E54</f>
        <v>0</v>
      </c>
      <c r="E54" s="1">
        <f>'O-imap_lo_I1b_histrates_DOY058'!E54-'EMv3_spin_new_O-DOY058_DEs_All'!F54</f>
        <v>0</v>
      </c>
      <c r="F54" s="1">
        <f>'O-imap_lo_I1b_histrates_DOY058'!F54-'EMv3_spin_new_O-DOY058_DEs_All'!G54</f>
        <v>0</v>
      </c>
      <c r="G54" s="1">
        <f>'O-imap_lo_I1b_histrates_DOY058'!G54-'EMv3_spin_new_O-DOY058_DEs_All'!H54</f>
        <v>0</v>
      </c>
      <c r="H54" s="1">
        <f>'O-imap_lo_I1b_histrates_DOY058'!H54-'EMv3_spin_new_O-DOY058_DEs_All'!I54</f>
        <v>0</v>
      </c>
      <c r="J54">
        <f t="shared" si="1"/>
        <v>303</v>
      </c>
    </row>
    <row r="55" spans="1:10" x14ac:dyDescent="0.2">
      <c r="A55">
        <v>51</v>
      </c>
      <c r="B55" s="1">
        <f>'O-imap_lo_I1b_histrates_DOY058'!B55-'EMv3_spin_new_O-DOY058_DEs_All'!C55</f>
        <v>0</v>
      </c>
      <c r="C55" s="1">
        <f>'O-imap_lo_I1b_histrates_DOY058'!C55-'EMv3_spin_new_O-DOY058_DEs_All'!D55</f>
        <v>0</v>
      </c>
      <c r="D55" s="1">
        <f>'O-imap_lo_I1b_histrates_DOY058'!D55-'EMv3_spin_new_O-DOY058_DEs_All'!E55</f>
        <v>0</v>
      </c>
      <c r="E55" s="1">
        <f>'O-imap_lo_I1b_histrates_DOY058'!E55-'EMv3_spin_new_O-DOY058_DEs_All'!F55</f>
        <v>0</v>
      </c>
      <c r="F55" s="1">
        <f>'O-imap_lo_I1b_histrates_DOY058'!F55-'EMv3_spin_new_O-DOY058_DEs_All'!G55</f>
        <v>0</v>
      </c>
      <c r="G55" s="1">
        <f>'O-imap_lo_I1b_histrates_DOY058'!G55-'EMv3_spin_new_O-DOY058_DEs_All'!H55</f>
        <v>0</v>
      </c>
      <c r="H55" s="1">
        <f>'O-imap_lo_I1b_histrates_DOY058'!H55-'EMv3_spin_new_O-DOY058_DEs_All'!I55</f>
        <v>0</v>
      </c>
      <c r="J55">
        <f t="shared" si="1"/>
        <v>309</v>
      </c>
    </row>
    <row r="56" spans="1:10" x14ac:dyDescent="0.2">
      <c r="A56">
        <v>52</v>
      </c>
      <c r="B56" s="1">
        <f>'O-imap_lo_I1b_histrates_DOY058'!B56-'EMv3_spin_new_O-DOY058_DEs_All'!C56</f>
        <v>0</v>
      </c>
      <c r="C56" s="1">
        <f>'O-imap_lo_I1b_histrates_DOY058'!C56-'EMv3_spin_new_O-DOY058_DEs_All'!D56</f>
        <v>0</v>
      </c>
      <c r="D56" s="1">
        <f>'O-imap_lo_I1b_histrates_DOY058'!D56-'EMv3_spin_new_O-DOY058_DEs_All'!E56</f>
        <v>0</v>
      </c>
      <c r="E56" s="1">
        <f>'O-imap_lo_I1b_histrates_DOY058'!E56-'EMv3_spin_new_O-DOY058_DEs_All'!F56</f>
        <v>0</v>
      </c>
      <c r="F56" s="1">
        <f>'O-imap_lo_I1b_histrates_DOY058'!F56-'EMv3_spin_new_O-DOY058_DEs_All'!G56</f>
        <v>0</v>
      </c>
      <c r="G56" s="1">
        <f>'O-imap_lo_I1b_histrates_DOY058'!G56-'EMv3_spin_new_O-DOY058_DEs_All'!H56</f>
        <v>0</v>
      </c>
      <c r="H56" s="1">
        <f>'O-imap_lo_I1b_histrates_DOY058'!H56-'EMv3_spin_new_O-DOY058_DEs_All'!I56</f>
        <v>0</v>
      </c>
      <c r="J56">
        <f t="shared" si="1"/>
        <v>315</v>
      </c>
    </row>
    <row r="57" spans="1:10" x14ac:dyDescent="0.2">
      <c r="A57">
        <v>53</v>
      </c>
      <c r="B57" s="1">
        <f>'O-imap_lo_I1b_histrates_DOY058'!B57-'EMv3_spin_new_O-DOY058_DEs_All'!C57</f>
        <v>1</v>
      </c>
      <c r="C57" s="1">
        <f>'O-imap_lo_I1b_histrates_DOY058'!C57-'EMv3_spin_new_O-DOY058_DEs_All'!D57</f>
        <v>0</v>
      </c>
      <c r="D57" s="1">
        <f>'O-imap_lo_I1b_histrates_DOY058'!D57-'EMv3_spin_new_O-DOY058_DEs_All'!E57</f>
        <v>1</v>
      </c>
      <c r="E57" s="1">
        <f>'O-imap_lo_I1b_histrates_DOY058'!E57-'EMv3_spin_new_O-DOY058_DEs_All'!F57</f>
        <v>0</v>
      </c>
      <c r="F57" s="1">
        <f>'O-imap_lo_I1b_histrates_DOY058'!F57-'EMv3_spin_new_O-DOY058_DEs_All'!G57</f>
        <v>0</v>
      </c>
      <c r="G57" s="1">
        <f>'O-imap_lo_I1b_histrates_DOY058'!G57-'EMv3_spin_new_O-DOY058_DEs_All'!H57</f>
        <v>0</v>
      </c>
      <c r="H57" s="1">
        <f>'O-imap_lo_I1b_histrates_DOY058'!H57-'EMv3_spin_new_O-DOY058_DEs_All'!I57</f>
        <v>0</v>
      </c>
      <c r="J57">
        <f t="shared" si="1"/>
        <v>321</v>
      </c>
    </row>
    <row r="58" spans="1:10" x14ac:dyDescent="0.2">
      <c r="A58">
        <v>54</v>
      </c>
      <c r="B58" s="1">
        <f>'O-imap_lo_I1b_histrates_DOY058'!B58-'EMv3_spin_new_O-DOY058_DEs_All'!C58</f>
        <v>0</v>
      </c>
      <c r="C58" s="1">
        <f>'O-imap_lo_I1b_histrates_DOY058'!C58-'EMv3_spin_new_O-DOY058_DEs_All'!D58</f>
        <v>0</v>
      </c>
      <c r="D58" s="1">
        <f>'O-imap_lo_I1b_histrates_DOY058'!D58-'EMv3_spin_new_O-DOY058_DEs_All'!E58</f>
        <v>-1</v>
      </c>
      <c r="E58" s="1">
        <f>'O-imap_lo_I1b_histrates_DOY058'!E58-'EMv3_spin_new_O-DOY058_DEs_All'!F58</f>
        <v>0</v>
      </c>
      <c r="F58" s="1">
        <f>'O-imap_lo_I1b_histrates_DOY058'!F58-'EMv3_spin_new_O-DOY058_DEs_All'!G58</f>
        <v>0</v>
      </c>
      <c r="G58" s="1">
        <f>'O-imap_lo_I1b_histrates_DOY058'!G58-'EMv3_spin_new_O-DOY058_DEs_All'!H58</f>
        <v>0</v>
      </c>
      <c r="H58" s="1">
        <f>'O-imap_lo_I1b_histrates_DOY058'!H58-'EMv3_spin_new_O-DOY058_DEs_All'!I58</f>
        <v>0</v>
      </c>
      <c r="J58">
        <f t="shared" si="1"/>
        <v>327</v>
      </c>
    </row>
    <row r="59" spans="1:10" x14ac:dyDescent="0.2">
      <c r="A59">
        <v>55</v>
      </c>
      <c r="B59" s="1">
        <f>'O-imap_lo_I1b_histrates_DOY058'!B59-'EMv3_spin_new_O-DOY058_DEs_All'!C59</f>
        <v>0</v>
      </c>
      <c r="C59" s="1">
        <f>'O-imap_lo_I1b_histrates_DOY058'!C59-'EMv3_spin_new_O-DOY058_DEs_All'!D59</f>
        <v>0</v>
      </c>
      <c r="D59" s="1">
        <f>'O-imap_lo_I1b_histrates_DOY058'!D59-'EMv3_spin_new_O-DOY058_DEs_All'!E59</f>
        <v>0</v>
      </c>
      <c r="E59" s="1">
        <f>'O-imap_lo_I1b_histrates_DOY058'!E59-'EMv3_spin_new_O-DOY058_DEs_All'!F59</f>
        <v>0</v>
      </c>
      <c r="F59" s="1">
        <f>'O-imap_lo_I1b_histrates_DOY058'!F59-'EMv3_spin_new_O-DOY058_DEs_All'!G59</f>
        <v>0</v>
      </c>
      <c r="G59" s="1">
        <f>'O-imap_lo_I1b_histrates_DOY058'!G59-'EMv3_spin_new_O-DOY058_DEs_All'!H59</f>
        <v>0</v>
      </c>
      <c r="H59" s="1">
        <f>'O-imap_lo_I1b_histrates_DOY058'!H59-'EMv3_spin_new_O-DOY058_DEs_All'!I59</f>
        <v>0</v>
      </c>
      <c r="J59">
        <f t="shared" si="1"/>
        <v>333</v>
      </c>
    </row>
    <row r="60" spans="1:10" x14ac:dyDescent="0.2">
      <c r="A60">
        <v>56</v>
      </c>
      <c r="B60" s="1">
        <f>'O-imap_lo_I1b_histrates_DOY058'!B60-'EMv3_spin_new_O-DOY058_DEs_All'!C60</f>
        <v>0</v>
      </c>
      <c r="C60" s="1">
        <f>'O-imap_lo_I1b_histrates_DOY058'!C60-'EMv3_spin_new_O-DOY058_DEs_All'!D60</f>
        <v>0</v>
      </c>
      <c r="D60" s="1">
        <f>'O-imap_lo_I1b_histrates_DOY058'!D60-'EMv3_spin_new_O-DOY058_DEs_All'!E60</f>
        <v>0</v>
      </c>
      <c r="E60" s="1">
        <f>'O-imap_lo_I1b_histrates_DOY058'!E60-'EMv3_spin_new_O-DOY058_DEs_All'!F60</f>
        <v>0</v>
      </c>
      <c r="F60" s="1">
        <f>'O-imap_lo_I1b_histrates_DOY058'!F60-'EMv3_spin_new_O-DOY058_DEs_All'!G60</f>
        <v>0</v>
      </c>
      <c r="G60" s="1">
        <f>'O-imap_lo_I1b_histrates_DOY058'!G60-'EMv3_spin_new_O-DOY058_DEs_All'!H60</f>
        <v>0</v>
      </c>
      <c r="H60" s="1">
        <f>'O-imap_lo_I1b_histrates_DOY058'!H60-'EMv3_spin_new_O-DOY058_DEs_All'!I60</f>
        <v>0</v>
      </c>
      <c r="J60">
        <f t="shared" si="1"/>
        <v>339</v>
      </c>
    </row>
    <row r="61" spans="1:10" x14ac:dyDescent="0.2">
      <c r="A61">
        <v>57</v>
      </c>
      <c r="B61" s="1">
        <f>'O-imap_lo_I1b_histrates_DOY058'!B61-'EMv3_spin_new_O-DOY058_DEs_All'!C61</f>
        <v>0</v>
      </c>
      <c r="C61" s="1">
        <f>'O-imap_lo_I1b_histrates_DOY058'!C61-'EMv3_spin_new_O-DOY058_DEs_All'!D61</f>
        <v>0</v>
      </c>
      <c r="D61" s="1">
        <f>'O-imap_lo_I1b_histrates_DOY058'!D61-'EMv3_spin_new_O-DOY058_DEs_All'!E61</f>
        <v>0</v>
      </c>
      <c r="E61" s="1">
        <f>'O-imap_lo_I1b_histrates_DOY058'!E61-'EMv3_spin_new_O-DOY058_DEs_All'!F61</f>
        <v>0</v>
      </c>
      <c r="F61" s="1">
        <f>'O-imap_lo_I1b_histrates_DOY058'!F61-'EMv3_spin_new_O-DOY058_DEs_All'!G61</f>
        <v>0</v>
      </c>
      <c r="G61" s="1">
        <f>'O-imap_lo_I1b_histrates_DOY058'!G61-'EMv3_spin_new_O-DOY058_DEs_All'!H61</f>
        <v>1</v>
      </c>
      <c r="H61" s="1">
        <f>'O-imap_lo_I1b_histrates_DOY058'!H61-'EMv3_spin_new_O-DOY058_DEs_All'!I61</f>
        <v>0</v>
      </c>
      <c r="J61">
        <f t="shared" si="1"/>
        <v>345</v>
      </c>
    </row>
    <row r="62" spans="1:10" x14ac:dyDescent="0.2">
      <c r="A62">
        <v>58</v>
      </c>
      <c r="B62" s="1">
        <f>'O-imap_lo_I1b_histrates_DOY058'!B62-'EMv3_spin_new_O-DOY058_DEs_All'!C62</f>
        <v>0</v>
      </c>
      <c r="C62" s="1">
        <f>'O-imap_lo_I1b_histrates_DOY058'!C62-'EMv3_spin_new_O-DOY058_DEs_All'!D62</f>
        <v>0</v>
      </c>
      <c r="D62" s="1">
        <f>'O-imap_lo_I1b_histrates_DOY058'!D62-'EMv3_spin_new_O-DOY058_DEs_All'!E62</f>
        <v>0</v>
      </c>
      <c r="E62" s="1">
        <f>'O-imap_lo_I1b_histrates_DOY058'!E62-'EMv3_spin_new_O-DOY058_DEs_All'!F62</f>
        <v>0</v>
      </c>
      <c r="F62" s="1">
        <f>'O-imap_lo_I1b_histrates_DOY058'!F62-'EMv3_spin_new_O-DOY058_DEs_All'!G62</f>
        <v>0</v>
      </c>
      <c r="G62" s="1">
        <f>'O-imap_lo_I1b_histrates_DOY058'!G62-'EMv3_spin_new_O-DOY058_DEs_All'!H62</f>
        <v>0</v>
      </c>
      <c r="H62" s="1">
        <f>'O-imap_lo_I1b_histrates_DOY058'!H62-'EMv3_spin_new_O-DOY058_DEs_All'!I62</f>
        <v>0</v>
      </c>
      <c r="J62">
        <f t="shared" si="1"/>
        <v>351</v>
      </c>
    </row>
    <row r="63" spans="1:10" x14ac:dyDescent="0.2">
      <c r="A63">
        <v>59</v>
      </c>
      <c r="B63" s="1">
        <f>'O-imap_lo_I1b_histrates_DOY058'!B63-'EMv3_spin_new_O-DOY058_DEs_All'!C63</f>
        <v>0</v>
      </c>
      <c r="C63" s="1">
        <f>'O-imap_lo_I1b_histrates_DOY058'!C63-'EMv3_spin_new_O-DOY058_DEs_All'!D63</f>
        <v>0</v>
      </c>
      <c r="D63" s="1">
        <f>'O-imap_lo_I1b_histrates_DOY058'!D63-'EMv3_spin_new_O-DOY058_DEs_All'!E63</f>
        <v>0</v>
      </c>
      <c r="E63" s="1">
        <f>'O-imap_lo_I1b_histrates_DOY058'!E63-'EMv3_spin_new_O-DOY058_DEs_All'!F63</f>
        <v>0</v>
      </c>
      <c r="F63" s="1">
        <f>'O-imap_lo_I1b_histrates_DOY058'!F63-'EMv3_spin_new_O-DOY058_DEs_All'!G63</f>
        <v>0</v>
      </c>
      <c r="G63" s="1">
        <f>'O-imap_lo_I1b_histrates_DOY058'!G63-'EMv3_spin_new_O-DOY058_DEs_All'!H63</f>
        <v>0</v>
      </c>
      <c r="H63" s="1">
        <f>'O-imap_lo_I1b_histrates_DOY058'!H63-'EMv3_spin_new_O-DOY058_DEs_All'!I63</f>
        <v>1</v>
      </c>
      <c r="J63">
        <f t="shared" si="1"/>
        <v>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E035-1EEB-3442-B8D4-AAD094970567}">
  <dimension ref="A1:J63"/>
  <sheetViews>
    <sheetView tabSelected="1" workbookViewId="0">
      <selection activeCell="G20" sqref="G20"/>
    </sheetView>
  </sheetViews>
  <sheetFormatPr baseColWidth="10" defaultRowHeight="16" x14ac:dyDescent="0.2"/>
  <sheetData>
    <row r="1" spans="1:10" x14ac:dyDescent="0.2">
      <c r="A1" t="s">
        <v>13</v>
      </c>
      <c r="B1" s="2">
        <f>B2/'O-imap_lo_I1b_histrates_DOY058'!B2</f>
        <v>3.2786885245901639E-3</v>
      </c>
      <c r="C1" s="2">
        <f>C2/'O-imap_lo_I1b_histrates_DOY058'!C2</f>
        <v>1.6694490818030051E-3</v>
      </c>
      <c r="D1" s="2">
        <f>D2/'O-imap_lo_I1b_histrates_DOY058'!D2</f>
        <v>0</v>
      </c>
      <c r="E1" s="2">
        <f>E2/'O-imap_lo_I1b_histrates_DOY058'!E2</f>
        <v>0</v>
      </c>
      <c r="F1" s="2">
        <f>F2/'O-imap_lo_I1b_histrates_DOY058'!F2</f>
        <v>3.5714285714285712E-2</v>
      </c>
      <c r="G1" s="2">
        <f>G2/'O-imap_lo_I1b_histrates_DOY058'!G2</f>
        <v>0</v>
      </c>
      <c r="H1" s="2">
        <f>H2/'O-imap_lo_I1b_histrates_DOY058'!H2</f>
        <v>0</v>
      </c>
      <c r="I1" s="2">
        <f>I2/'O-imap_lo_I1b_histrates_DOY058'!I2</f>
        <v>7.9470198675496689E-4</v>
      </c>
    </row>
    <row r="2" spans="1:10" x14ac:dyDescent="0.2">
      <c r="A2" t="s">
        <v>12</v>
      </c>
      <c r="B2" s="1">
        <f>SUM(B4:B63)</f>
        <v>1</v>
      </c>
      <c r="C2" s="1">
        <f t="shared" ref="C2:H2" si="0">SUM(C4:C63)</f>
        <v>1</v>
      </c>
      <c r="D2" s="1">
        <f t="shared" si="0"/>
        <v>0</v>
      </c>
      <c r="E2" s="1">
        <f t="shared" si="0"/>
        <v>0</v>
      </c>
      <c r="F2" s="1">
        <f t="shared" si="0"/>
        <v>1</v>
      </c>
      <c r="G2" s="1">
        <f t="shared" si="0"/>
        <v>0</v>
      </c>
      <c r="H2" s="1">
        <f t="shared" si="0"/>
        <v>0</v>
      </c>
      <c r="I2" s="1">
        <f>SUM(B2:H2)</f>
        <v>3</v>
      </c>
    </row>
    <row r="3" spans="1:10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J3" t="s">
        <v>14</v>
      </c>
    </row>
    <row r="4" spans="1:10" x14ac:dyDescent="0.2">
      <c r="A4">
        <v>0</v>
      </c>
      <c r="B4" s="1">
        <f>'O-imap_lo_I1b_histrates_DOY058'!B4-DE_DOY58_histfilter!C4</f>
        <v>0</v>
      </c>
      <c r="C4" s="1">
        <f>'O-imap_lo_I1b_histrates_DOY058'!C4-DE_DOY58_histfilter!D4</f>
        <v>0</v>
      </c>
      <c r="D4" s="1">
        <f>'O-imap_lo_I1b_histrates_DOY058'!D4-DE_DOY58_histfilter!E4</f>
        <v>0</v>
      </c>
      <c r="E4" s="1">
        <f>'O-imap_lo_I1b_histrates_DOY058'!E4-DE_DOY58_histfilter!F4</f>
        <v>0</v>
      </c>
      <c r="F4" s="1">
        <f>'O-imap_lo_I1b_histrates_DOY058'!F4-DE_DOY58_histfilter!G4</f>
        <v>0</v>
      </c>
      <c r="G4" s="1">
        <f>'O-imap_lo_I1b_histrates_DOY058'!G4-DE_DOY58_histfilter!H4</f>
        <v>0</v>
      </c>
      <c r="H4" s="1">
        <f>'O-imap_lo_I1b_histrates_DOY058'!H4-DE_DOY58_histfilter!I4</f>
        <v>-1</v>
      </c>
      <c r="J4">
        <f>A4*6+3</f>
        <v>3</v>
      </c>
    </row>
    <row r="5" spans="1:10" x14ac:dyDescent="0.2">
      <c r="A5">
        <v>1</v>
      </c>
      <c r="B5" s="1">
        <f>'O-imap_lo_I1b_histrates_DOY058'!B5-DE_DOY58_histfilter!C5</f>
        <v>0</v>
      </c>
      <c r="C5" s="1">
        <f>'O-imap_lo_I1b_histrates_DOY058'!C5-DE_DOY58_histfilter!D5</f>
        <v>0</v>
      </c>
      <c r="D5" s="1">
        <f>'O-imap_lo_I1b_histrates_DOY058'!D5-DE_DOY58_histfilter!E5</f>
        <v>0</v>
      </c>
      <c r="E5" s="1">
        <f>'O-imap_lo_I1b_histrates_DOY058'!E5-DE_DOY58_histfilter!F5</f>
        <v>0</v>
      </c>
      <c r="F5" s="1">
        <f>'O-imap_lo_I1b_histrates_DOY058'!F5-DE_DOY58_histfilter!G5</f>
        <v>0</v>
      </c>
      <c r="G5" s="1">
        <f>'O-imap_lo_I1b_histrates_DOY058'!G5-DE_DOY58_histfilter!H5</f>
        <v>0</v>
      </c>
      <c r="H5" s="1">
        <f>'O-imap_lo_I1b_histrates_DOY058'!H5-DE_DOY58_histfilter!I5</f>
        <v>0</v>
      </c>
      <c r="J5">
        <f t="shared" ref="J5:J63" si="1">A5*6+3</f>
        <v>9</v>
      </c>
    </row>
    <row r="6" spans="1:10" x14ac:dyDescent="0.2">
      <c r="A6">
        <v>2</v>
      </c>
      <c r="B6" s="1">
        <f>'O-imap_lo_I1b_histrates_DOY058'!B6-DE_DOY58_histfilter!C6</f>
        <v>0</v>
      </c>
      <c r="C6" s="1">
        <f>'O-imap_lo_I1b_histrates_DOY058'!C6-DE_DOY58_histfilter!D6</f>
        <v>0</v>
      </c>
      <c r="D6" s="1">
        <f>'O-imap_lo_I1b_histrates_DOY058'!D6-DE_DOY58_histfilter!E6</f>
        <v>0</v>
      </c>
      <c r="E6" s="1">
        <f>'O-imap_lo_I1b_histrates_DOY058'!E6-DE_DOY58_histfilter!F6</f>
        <v>0</v>
      </c>
      <c r="F6" s="1">
        <f>'O-imap_lo_I1b_histrates_DOY058'!F6-DE_DOY58_histfilter!G6</f>
        <v>0</v>
      </c>
      <c r="G6" s="1">
        <f>'O-imap_lo_I1b_histrates_DOY058'!G6-DE_DOY58_histfilter!H6</f>
        <v>0</v>
      </c>
      <c r="H6" s="1">
        <f>'O-imap_lo_I1b_histrates_DOY058'!H6-DE_DOY58_histfilter!I6</f>
        <v>0</v>
      </c>
      <c r="J6">
        <f t="shared" si="1"/>
        <v>15</v>
      </c>
    </row>
    <row r="7" spans="1:10" x14ac:dyDescent="0.2">
      <c r="A7">
        <v>3</v>
      </c>
      <c r="B7" s="1">
        <f>'O-imap_lo_I1b_histrates_DOY058'!B7-DE_DOY58_histfilter!C7</f>
        <v>0</v>
      </c>
      <c r="C7" s="1">
        <f>'O-imap_lo_I1b_histrates_DOY058'!C7-DE_DOY58_histfilter!D7</f>
        <v>0</v>
      </c>
      <c r="D7" s="1">
        <f>'O-imap_lo_I1b_histrates_DOY058'!D7-DE_DOY58_histfilter!E7</f>
        <v>0</v>
      </c>
      <c r="E7" s="1">
        <f>'O-imap_lo_I1b_histrates_DOY058'!E7-DE_DOY58_histfilter!F7</f>
        <v>0</v>
      </c>
      <c r="F7" s="1">
        <f>'O-imap_lo_I1b_histrates_DOY058'!F7-DE_DOY58_histfilter!G7</f>
        <v>0</v>
      </c>
      <c r="G7" s="1">
        <f>'O-imap_lo_I1b_histrates_DOY058'!G7-DE_DOY58_histfilter!H7</f>
        <v>0</v>
      </c>
      <c r="H7" s="1">
        <f>'O-imap_lo_I1b_histrates_DOY058'!H7-DE_DOY58_histfilter!I7</f>
        <v>0</v>
      </c>
      <c r="J7">
        <f t="shared" si="1"/>
        <v>21</v>
      </c>
    </row>
    <row r="8" spans="1:10" x14ac:dyDescent="0.2">
      <c r="A8">
        <v>4</v>
      </c>
      <c r="B8" s="1">
        <f>'O-imap_lo_I1b_histrates_DOY058'!B8-DE_DOY58_histfilter!C8</f>
        <v>0</v>
      </c>
      <c r="C8" s="1">
        <f>'O-imap_lo_I1b_histrates_DOY058'!C8-DE_DOY58_histfilter!D8</f>
        <v>0</v>
      </c>
      <c r="D8" s="1">
        <f>'O-imap_lo_I1b_histrates_DOY058'!D8-DE_DOY58_histfilter!E8</f>
        <v>0</v>
      </c>
      <c r="E8" s="1">
        <f>'O-imap_lo_I1b_histrates_DOY058'!E8-DE_DOY58_histfilter!F8</f>
        <v>0</v>
      </c>
      <c r="F8" s="1">
        <f>'O-imap_lo_I1b_histrates_DOY058'!F8-DE_DOY58_histfilter!G8</f>
        <v>0</v>
      </c>
      <c r="G8" s="1">
        <f>'O-imap_lo_I1b_histrates_DOY058'!G8-DE_DOY58_histfilter!H8</f>
        <v>0</v>
      </c>
      <c r="H8" s="1">
        <f>'O-imap_lo_I1b_histrates_DOY058'!H8-DE_DOY58_histfilter!I8</f>
        <v>0</v>
      </c>
      <c r="J8">
        <f t="shared" si="1"/>
        <v>27</v>
      </c>
    </row>
    <row r="9" spans="1:10" x14ac:dyDescent="0.2">
      <c r="A9">
        <v>5</v>
      </c>
      <c r="B9" s="1">
        <f>'O-imap_lo_I1b_histrates_DOY058'!B9-DE_DOY58_histfilter!C9</f>
        <v>0</v>
      </c>
      <c r="C9" s="1">
        <f>'O-imap_lo_I1b_histrates_DOY058'!C9-DE_DOY58_histfilter!D9</f>
        <v>0</v>
      </c>
      <c r="D9" s="1">
        <f>'O-imap_lo_I1b_histrates_DOY058'!D9-DE_DOY58_histfilter!E9</f>
        <v>0</v>
      </c>
      <c r="E9" s="1">
        <f>'O-imap_lo_I1b_histrates_DOY058'!E9-DE_DOY58_histfilter!F9</f>
        <v>0</v>
      </c>
      <c r="F9" s="1">
        <f>'O-imap_lo_I1b_histrates_DOY058'!F9-DE_DOY58_histfilter!G9</f>
        <v>0</v>
      </c>
      <c r="G9" s="1">
        <f>'O-imap_lo_I1b_histrates_DOY058'!G9-DE_DOY58_histfilter!H9</f>
        <v>0</v>
      </c>
      <c r="H9" s="1">
        <f>'O-imap_lo_I1b_histrates_DOY058'!H9-DE_DOY58_histfilter!I9</f>
        <v>0</v>
      </c>
      <c r="J9">
        <f t="shared" si="1"/>
        <v>33</v>
      </c>
    </row>
    <row r="10" spans="1:10" x14ac:dyDescent="0.2">
      <c r="A10">
        <v>6</v>
      </c>
      <c r="B10" s="1">
        <f>'O-imap_lo_I1b_histrates_DOY058'!B10-DE_DOY58_histfilter!C10</f>
        <v>0</v>
      </c>
      <c r="C10" s="1">
        <f>'O-imap_lo_I1b_histrates_DOY058'!C10-DE_DOY58_histfilter!D10</f>
        <v>0</v>
      </c>
      <c r="D10" s="1">
        <f>'O-imap_lo_I1b_histrates_DOY058'!D10-DE_DOY58_histfilter!E10</f>
        <v>0</v>
      </c>
      <c r="E10" s="1">
        <f>'O-imap_lo_I1b_histrates_DOY058'!E10-DE_DOY58_histfilter!F10</f>
        <v>1</v>
      </c>
      <c r="F10" s="1">
        <f>'O-imap_lo_I1b_histrates_DOY058'!F10-DE_DOY58_histfilter!G10</f>
        <v>1</v>
      </c>
      <c r="G10" s="1">
        <f>'O-imap_lo_I1b_histrates_DOY058'!G10-DE_DOY58_histfilter!H10</f>
        <v>0</v>
      </c>
      <c r="H10" s="1">
        <f>'O-imap_lo_I1b_histrates_DOY058'!H10-DE_DOY58_histfilter!I10</f>
        <v>0</v>
      </c>
      <c r="J10">
        <f t="shared" si="1"/>
        <v>39</v>
      </c>
    </row>
    <row r="11" spans="1:10" x14ac:dyDescent="0.2">
      <c r="A11">
        <v>7</v>
      </c>
      <c r="B11" s="1">
        <f>'O-imap_lo_I1b_histrates_DOY058'!B11-DE_DOY58_histfilter!C11</f>
        <v>0</v>
      </c>
      <c r="C11" s="1">
        <f>'O-imap_lo_I1b_histrates_DOY058'!C11-DE_DOY58_histfilter!D11</f>
        <v>0</v>
      </c>
      <c r="D11" s="1">
        <f>'O-imap_lo_I1b_histrates_DOY058'!D11-DE_DOY58_histfilter!E11</f>
        <v>0</v>
      </c>
      <c r="E11" s="1">
        <f>'O-imap_lo_I1b_histrates_DOY058'!E11-DE_DOY58_histfilter!F11</f>
        <v>-1</v>
      </c>
      <c r="F11" s="1">
        <f>'O-imap_lo_I1b_histrates_DOY058'!F11-DE_DOY58_histfilter!G11</f>
        <v>0</v>
      </c>
      <c r="G11" s="1">
        <f>'O-imap_lo_I1b_histrates_DOY058'!G11-DE_DOY58_histfilter!H11</f>
        <v>0</v>
      </c>
      <c r="H11" s="1">
        <f>'O-imap_lo_I1b_histrates_DOY058'!H11-DE_DOY58_histfilter!I11</f>
        <v>0</v>
      </c>
      <c r="J11">
        <f t="shared" si="1"/>
        <v>45</v>
      </c>
    </row>
    <row r="12" spans="1:10" x14ac:dyDescent="0.2">
      <c r="A12">
        <v>8</v>
      </c>
      <c r="B12" s="1">
        <f>'O-imap_lo_I1b_histrates_DOY058'!B12-DE_DOY58_histfilter!C12</f>
        <v>0</v>
      </c>
      <c r="C12" s="1">
        <f>'O-imap_lo_I1b_histrates_DOY058'!C12-DE_DOY58_histfilter!D12</f>
        <v>0</v>
      </c>
      <c r="D12" s="1">
        <f>'O-imap_lo_I1b_histrates_DOY058'!D12-DE_DOY58_histfilter!E12</f>
        <v>0</v>
      </c>
      <c r="E12" s="1">
        <f>'O-imap_lo_I1b_histrates_DOY058'!E12-DE_DOY58_histfilter!F12</f>
        <v>1</v>
      </c>
      <c r="F12" s="1">
        <f>'O-imap_lo_I1b_histrates_DOY058'!F12-DE_DOY58_histfilter!G12</f>
        <v>0</v>
      </c>
      <c r="G12" s="1">
        <f>'O-imap_lo_I1b_histrates_DOY058'!G12-DE_DOY58_histfilter!H12</f>
        <v>0</v>
      </c>
      <c r="H12" s="1">
        <f>'O-imap_lo_I1b_histrates_DOY058'!H12-DE_DOY58_histfilter!I12</f>
        <v>0</v>
      </c>
      <c r="J12">
        <f t="shared" si="1"/>
        <v>51</v>
      </c>
    </row>
    <row r="13" spans="1:10" x14ac:dyDescent="0.2">
      <c r="A13">
        <v>9</v>
      </c>
      <c r="B13" s="1">
        <f>'O-imap_lo_I1b_histrates_DOY058'!B13-DE_DOY58_histfilter!C13</f>
        <v>0</v>
      </c>
      <c r="C13" s="1">
        <f>'O-imap_lo_I1b_histrates_DOY058'!C13-DE_DOY58_histfilter!D13</f>
        <v>0</v>
      </c>
      <c r="D13" s="1">
        <f>'O-imap_lo_I1b_histrates_DOY058'!D13-DE_DOY58_histfilter!E13</f>
        <v>0</v>
      </c>
      <c r="E13" s="1">
        <f>'O-imap_lo_I1b_histrates_DOY058'!E13-DE_DOY58_histfilter!F13</f>
        <v>-1</v>
      </c>
      <c r="F13" s="1">
        <f>'O-imap_lo_I1b_histrates_DOY058'!F13-DE_DOY58_histfilter!G13</f>
        <v>0</v>
      </c>
      <c r="G13" s="1">
        <f>'O-imap_lo_I1b_histrates_DOY058'!G13-DE_DOY58_histfilter!H13</f>
        <v>0</v>
      </c>
      <c r="H13" s="1">
        <f>'O-imap_lo_I1b_histrates_DOY058'!H13-DE_DOY58_histfilter!I13</f>
        <v>0</v>
      </c>
      <c r="J13">
        <f t="shared" si="1"/>
        <v>57</v>
      </c>
    </row>
    <row r="14" spans="1:10" x14ac:dyDescent="0.2">
      <c r="A14">
        <v>10</v>
      </c>
      <c r="B14" s="1">
        <f>'O-imap_lo_I1b_histrates_DOY058'!B14-DE_DOY58_histfilter!C14</f>
        <v>0</v>
      </c>
      <c r="C14" s="1">
        <f>'O-imap_lo_I1b_histrates_DOY058'!C14-DE_DOY58_histfilter!D14</f>
        <v>1</v>
      </c>
      <c r="D14" s="1">
        <f>'O-imap_lo_I1b_histrates_DOY058'!D14-DE_DOY58_histfilter!E14</f>
        <v>2</v>
      </c>
      <c r="E14" s="1">
        <f>'O-imap_lo_I1b_histrates_DOY058'!E14-DE_DOY58_histfilter!F14</f>
        <v>1</v>
      </c>
      <c r="F14" s="1">
        <f>'O-imap_lo_I1b_histrates_DOY058'!F14-DE_DOY58_histfilter!G14</f>
        <v>0</v>
      </c>
      <c r="G14" s="1">
        <f>'O-imap_lo_I1b_histrates_DOY058'!G14-DE_DOY58_histfilter!H14</f>
        <v>0</v>
      </c>
      <c r="H14" s="1">
        <f>'O-imap_lo_I1b_histrates_DOY058'!H14-DE_DOY58_histfilter!I14</f>
        <v>0</v>
      </c>
      <c r="J14">
        <f t="shared" si="1"/>
        <v>63</v>
      </c>
    </row>
    <row r="15" spans="1:10" x14ac:dyDescent="0.2">
      <c r="A15">
        <v>11</v>
      </c>
      <c r="B15" s="1">
        <f>'O-imap_lo_I1b_histrates_DOY058'!B15-DE_DOY58_histfilter!C15</f>
        <v>3</v>
      </c>
      <c r="C15" s="1">
        <f>'O-imap_lo_I1b_histrates_DOY058'!C15-DE_DOY58_histfilter!D15</f>
        <v>3</v>
      </c>
      <c r="D15" s="1">
        <f>'O-imap_lo_I1b_histrates_DOY058'!D15-DE_DOY58_histfilter!E15</f>
        <v>5</v>
      </c>
      <c r="E15" s="1">
        <f>'O-imap_lo_I1b_histrates_DOY058'!E15-DE_DOY58_histfilter!F15</f>
        <v>5</v>
      </c>
      <c r="F15" s="1">
        <f>'O-imap_lo_I1b_histrates_DOY058'!F15-DE_DOY58_histfilter!G15</f>
        <v>0</v>
      </c>
      <c r="G15" s="1">
        <f>'O-imap_lo_I1b_histrates_DOY058'!G15-DE_DOY58_histfilter!H15</f>
        <v>0</v>
      </c>
      <c r="H15" s="1">
        <f>'O-imap_lo_I1b_histrates_DOY058'!H15-DE_DOY58_histfilter!I15</f>
        <v>0</v>
      </c>
      <c r="J15">
        <f t="shared" si="1"/>
        <v>69</v>
      </c>
    </row>
    <row r="16" spans="1:10" x14ac:dyDescent="0.2">
      <c r="A16">
        <v>12</v>
      </c>
      <c r="B16" s="1">
        <f>'O-imap_lo_I1b_histrates_DOY058'!B16-DE_DOY58_histfilter!C16</f>
        <v>3</v>
      </c>
      <c r="C16" s="1">
        <f>'O-imap_lo_I1b_histrates_DOY058'!C16-DE_DOY58_histfilter!D16</f>
        <v>12</v>
      </c>
      <c r="D16" s="1">
        <f>'O-imap_lo_I1b_histrates_DOY058'!D16-DE_DOY58_histfilter!E16</f>
        <v>33</v>
      </c>
      <c r="E16" s="1">
        <f>'O-imap_lo_I1b_histrates_DOY058'!E16-DE_DOY58_histfilter!F16</f>
        <v>23</v>
      </c>
      <c r="F16" s="1">
        <f>'O-imap_lo_I1b_histrates_DOY058'!F16-DE_DOY58_histfilter!G16</f>
        <v>0</v>
      </c>
      <c r="G16" s="1">
        <f>'O-imap_lo_I1b_histrates_DOY058'!G16-DE_DOY58_histfilter!H16</f>
        <v>0</v>
      </c>
      <c r="H16" s="1">
        <f>'O-imap_lo_I1b_histrates_DOY058'!H16-DE_DOY58_histfilter!I16</f>
        <v>0</v>
      </c>
      <c r="J16">
        <f t="shared" si="1"/>
        <v>75</v>
      </c>
    </row>
    <row r="17" spans="1:10" x14ac:dyDescent="0.2">
      <c r="A17">
        <v>13</v>
      </c>
      <c r="B17" s="1">
        <f>'O-imap_lo_I1b_histrates_DOY058'!B17-DE_DOY58_histfilter!C17</f>
        <v>7</v>
      </c>
      <c r="C17" s="1">
        <f>'O-imap_lo_I1b_histrates_DOY058'!C17-DE_DOY58_histfilter!D17</f>
        <v>29</v>
      </c>
      <c r="D17" s="1">
        <f>'O-imap_lo_I1b_histrates_DOY058'!D17-DE_DOY58_histfilter!E17</f>
        <v>79</v>
      </c>
      <c r="E17" s="1">
        <f>'O-imap_lo_I1b_histrates_DOY058'!E17-DE_DOY58_histfilter!F17</f>
        <v>32</v>
      </c>
      <c r="F17" s="1">
        <f>'O-imap_lo_I1b_histrates_DOY058'!F17-DE_DOY58_histfilter!G17</f>
        <v>2</v>
      </c>
      <c r="G17" s="1">
        <f>'O-imap_lo_I1b_histrates_DOY058'!G17-DE_DOY58_histfilter!H17</f>
        <v>1</v>
      </c>
      <c r="H17" s="1">
        <f>'O-imap_lo_I1b_histrates_DOY058'!H17-DE_DOY58_histfilter!I17</f>
        <v>0</v>
      </c>
      <c r="J17">
        <f t="shared" si="1"/>
        <v>81</v>
      </c>
    </row>
    <row r="18" spans="1:10" x14ac:dyDescent="0.2">
      <c r="A18">
        <v>14</v>
      </c>
      <c r="B18" s="1">
        <f>'O-imap_lo_I1b_histrates_DOY058'!B18-DE_DOY58_histfilter!C18</f>
        <v>11</v>
      </c>
      <c r="C18" s="1">
        <f>'O-imap_lo_I1b_histrates_DOY058'!C18-DE_DOY58_histfilter!D18</f>
        <v>-12</v>
      </c>
      <c r="D18" s="1">
        <f>'O-imap_lo_I1b_histrates_DOY058'!D18-DE_DOY58_histfilter!E18</f>
        <v>-8</v>
      </c>
      <c r="E18" s="1">
        <f>'O-imap_lo_I1b_histrates_DOY058'!E18-DE_DOY58_histfilter!F18</f>
        <v>16</v>
      </c>
      <c r="F18" s="1">
        <f>'O-imap_lo_I1b_histrates_DOY058'!F18-DE_DOY58_histfilter!G18</f>
        <v>0</v>
      </c>
      <c r="G18" s="1">
        <f>'O-imap_lo_I1b_histrates_DOY058'!G18-DE_DOY58_histfilter!H18</f>
        <v>0</v>
      </c>
      <c r="H18" s="1">
        <f>'O-imap_lo_I1b_histrates_DOY058'!H18-DE_DOY58_histfilter!I18</f>
        <v>0</v>
      </c>
      <c r="J18">
        <f t="shared" si="1"/>
        <v>87</v>
      </c>
    </row>
    <row r="19" spans="1:10" x14ac:dyDescent="0.2">
      <c r="A19">
        <v>15</v>
      </c>
      <c r="B19" s="1">
        <f>'O-imap_lo_I1b_histrates_DOY058'!B19-DE_DOY58_histfilter!C19</f>
        <v>-19</v>
      </c>
      <c r="C19" s="1">
        <f>'O-imap_lo_I1b_histrates_DOY058'!C19-DE_DOY58_histfilter!D19</f>
        <v>-15</v>
      </c>
      <c r="D19" s="1">
        <f>'O-imap_lo_I1b_histrates_DOY058'!D19-DE_DOY58_histfilter!E19</f>
        <v>-57</v>
      </c>
      <c r="E19" s="1">
        <f>'O-imap_lo_I1b_histrates_DOY058'!E19-DE_DOY58_histfilter!F19</f>
        <v>-46</v>
      </c>
      <c r="F19" s="1">
        <f>'O-imap_lo_I1b_histrates_DOY058'!F19-DE_DOY58_histfilter!G19</f>
        <v>-2</v>
      </c>
      <c r="G19" s="1">
        <f>'O-imap_lo_I1b_histrates_DOY058'!G19-DE_DOY58_histfilter!H19</f>
        <v>0</v>
      </c>
      <c r="H19" s="1">
        <f>'O-imap_lo_I1b_histrates_DOY058'!H19-DE_DOY58_histfilter!I19</f>
        <v>0</v>
      </c>
      <c r="J19">
        <f t="shared" si="1"/>
        <v>93</v>
      </c>
    </row>
    <row r="20" spans="1:10" x14ac:dyDescent="0.2">
      <c r="A20">
        <v>16</v>
      </c>
      <c r="B20" s="1">
        <f>'O-imap_lo_I1b_histrates_DOY058'!B20-DE_DOY58_histfilter!C20</f>
        <v>-3</v>
      </c>
      <c r="C20" s="1">
        <f>'O-imap_lo_I1b_histrates_DOY058'!C20-DE_DOY58_histfilter!D20</f>
        <v>-15</v>
      </c>
      <c r="D20" s="1">
        <f>'O-imap_lo_I1b_histrates_DOY058'!D20-DE_DOY58_histfilter!E20</f>
        <v>-48</v>
      </c>
      <c r="E20" s="1">
        <f>'O-imap_lo_I1b_histrates_DOY058'!E20-DE_DOY58_histfilter!F20</f>
        <v>-29</v>
      </c>
      <c r="F20" s="1">
        <f>'O-imap_lo_I1b_histrates_DOY058'!F20-DE_DOY58_histfilter!G20</f>
        <v>0</v>
      </c>
      <c r="G20" s="1">
        <f>'O-imap_lo_I1b_histrates_DOY058'!G20-DE_DOY58_histfilter!H20</f>
        <v>-1</v>
      </c>
      <c r="H20" s="1">
        <f>'O-imap_lo_I1b_histrates_DOY058'!H20-DE_DOY58_histfilter!I20</f>
        <v>0</v>
      </c>
      <c r="J20">
        <f t="shared" si="1"/>
        <v>99</v>
      </c>
    </row>
    <row r="21" spans="1:10" x14ac:dyDescent="0.2">
      <c r="A21">
        <v>17</v>
      </c>
      <c r="B21" s="1">
        <f>'O-imap_lo_I1b_histrates_DOY058'!B21-DE_DOY58_histfilter!C21</f>
        <v>-1</v>
      </c>
      <c r="C21" s="1">
        <f>'O-imap_lo_I1b_histrates_DOY058'!C21-DE_DOY58_histfilter!D21</f>
        <v>0</v>
      </c>
      <c r="D21" s="1">
        <f>'O-imap_lo_I1b_histrates_DOY058'!D21-DE_DOY58_histfilter!E21</f>
        <v>-5</v>
      </c>
      <c r="E21" s="1">
        <f>'O-imap_lo_I1b_histrates_DOY058'!E21-DE_DOY58_histfilter!F21</f>
        <v>-2</v>
      </c>
      <c r="F21" s="1">
        <f>'O-imap_lo_I1b_histrates_DOY058'!F21-DE_DOY58_histfilter!G21</f>
        <v>0</v>
      </c>
      <c r="G21" s="1">
        <f>'O-imap_lo_I1b_histrates_DOY058'!G21-DE_DOY58_histfilter!H21</f>
        <v>0</v>
      </c>
      <c r="H21" s="1">
        <f>'O-imap_lo_I1b_histrates_DOY058'!H21-DE_DOY58_histfilter!I21</f>
        <v>0</v>
      </c>
      <c r="J21">
        <f t="shared" si="1"/>
        <v>105</v>
      </c>
    </row>
    <row r="22" spans="1:10" x14ac:dyDescent="0.2">
      <c r="A22">
        <v>18</v>
      </c>
      <c r="B22" s="1">
        <f>'O-imap_lo_I1b_histrates_DOY058'!B22-DE_DOY58_histfilter!C22</f>
        <v>0</v>
      </c>
      <c r="C22" s="1">
        <f>'O-imap_lo_I1b_histrates_DOY058'!C22-DE_DOY58_histfilter!D22</f>
        <v>-2</v>
      </c>
      <c r="D22" s="1">
        <f>'O-imap_lo_I1b_histrates_DOY058'!D22-DE_DOY58_histfilter!E22</f>
        <v>-1</v>
      </c>
      <c r="E22" s="1">
        <f>'O-imap_lo_I1b_histrates_DOY058'!E22-DE_DOY58_histfilter!F22</f>
        <v>-1</v>
      </c>
      <c r="F22" s="1">
        <f>'O-imap_lo_I1b_histrates_DOY058'!F22-DE_DOY58_histfilter!G22</f>
        <v>0</v>
      </c>
      <c r="G22" s="1">
        <f>'O-imap_lo_I1b_histrates_DOY058'!G22-DE_DOY58_histfilter!H22</f>
        <v>0</v>
      </c>
      <c r="H22" s="1">
        <f>'O-imap_lo_I1b_histrates_DOY058'!H22-DE_DOY58_histfilter!I22</f>
        <v>0</v>
      </c>
      <c r="J22">
        <f t="shared" si="1"/>
        <v>111</v>
      </c>
    </row>
    <row r="23" spans="1:10" x14ac:dyDescent="0.2">
      <c r="A23">
        <v>19</v>
      </c>
      <c r="B23" s="1">
        <f>'O-imap_lo_I1b_histrates_DOY058'!B23-DE_DOY58_histfilter!C23</f>
        <v>1</v>
      </c>
      <c r="C23" s="1">
        <f>'O-imap_lo_I1b_histrates_DOY058'!C23-DE_DOY58_histfilter!D23</f>
        <v>0</v>
      </c>
      <c r="D23" s="1">
        <f>'O-imap_lo_I1b_histrates_DOY058'!D23-DE_DOY58_histfilter!E23</f>
        <v>0</v>
      </c>
      <c r="E23" s="1">
        <f>'O-imap_lo_I1b_histrates_DOY058'!E23-DE_DOY58_histfilter!F23</f>
        <v>0</v>
      </c>
      <c r="F23" s="1">
        <f>'O-imap_lo_I1b_histrates_DOY058'!F23-DE_DOY58_histfilter!G23</f>
        <v>0</v>
      </c>
      <c r="G23" s="1">
        <f>'O-imap_lo_I1b_histrates_DOY058'!G23-DE_DOY58_histfilter!H23</f>
        <v>0</v>
      </c>
      <c r="H23" s="1">
        <f>'O-imap_lo_I1b_histrates_DOY058'!H23-DE_DOY58_histfilter!I23</f>
        <v>0</v>
      </c>
      <c r="J23">
        <f t="shared" si="1"/>
        <v>117</v>
      </c>
    </row>
    <row r="24" spans="1:10" x14ac:dyDescent="0.2">
      <c r="A24">
        <v>20</v>
      </c>
      <c r="B24" s="1">
        <f>'O-imap_lo_I1b_histrates_DOY058'!B24-DE_DOY58_histfilter!C24</f>
        <v>0</v>
      </c>
      <c r="C24" s="1">
        <f>'O-imap_lo_I1b_histrates_DOY058'!C24-DE_DOY58_histfilter!D24</f>
        <v>1</v>
      </c>
      <c r="D24" s="1">
        <f>'O-imap_lo_I1b_histrates_DOY058'!D24-DE_DOY58_histfilter!E24</f>
        <v>0</v>
      </c>
      <c r="E24" s="1">
        <f>'O-imap_lo_I1b_histrates_DOY058'!E24-DE_DOY58_histfilter!F24</f>
        <v>0</v>
      </c>
      <c r="F24" s="1">
        <f>'O-imap_lo_I1b_histrates_DOY058'!F24-DE_DOY58_histfilter!G24</f>
        <v>0</v>
      </c>
      <c r="G24" s="1">
        <f>'O-imap_lo_I1b_histrates_DOY058'!G24-DE_DOY58_histfilter!H24</f>
        <v>0</v>
      </c>
      <c r="H24" s="1">
        <f>'O-imap_lo_I1b_histrates_DOY058'!H24-DE_DOY58_histfilter!I24</f>
        <v>0</v>
      </c>
      <c r="J24">
        <f t="shared" si="1"/>
        <v>123</v>
      </c>
    </row>
    <row r="25" spans="1:10" x14ac:dyDescent="0.2">
      <c r="A25">
        <v>21</v>
      </c>
      <c r="B25" s="1">
        <f>'O-imap_lo_I1b_histrates_DOY058'!B25-DE_DOY58_histfilter!C25</f>
        <v>-1</v>
      </c>
      <c r="C25" s="1">
        <f>'O-imap_lo_I1b_histrates_DOY058'!C25-DE_DOY58_histfilter!D25</f>
        <v>-1</v>
      </c>
      <c r="D25" s="1">
        <f>'O-imap_lo_I1b_histrates_DOY058'!D25-DE_DOY58_histfilter!E25</f>
        <v>0</v>
      </c>
      <c r="E25" s="1">
        <f>'O-imap_lo_I1b_histrates_DOY058'!E25-DE_DOY58_histfilter!F25</f>
        <v>1</v>
      </c>
      <c r="F25" s="1">
        <f>'O-imap_lo_I1b_histrates_DOY058'!F25-DE_DOY58_histfilter!G25</f>
        <v>0</v>
      </c>
      <c r="G25" s="1">
        <f>'O-imap_lo_I1b_histrates_DOY058'!G25-DE_DOY58_histfilter!H25</f>
        <v>0</v>
      </c>
      <c r="H25" s="1">
        <f>'O-imap_lo_I1b_histrates_DOY058'!H25-DE_DOY58_histfilter!I25</f>
        <v>0</v>
      </c>
      <c r="J25">
        <f t="shared" si="1"/>
        <v>129</v>
      </c>
    </row>
    <row r="26" spans="1:10" x14ac:dyDescent="0.2">
      <c r="A26">
        <v>22</v>
      </c>
      <c r="B26" s="1">
        <f>'O-imap_lo_I1b_histrates_DOY058'!B26-DE_DOY58_histfilter!C26</f>
        <v>1</v>
      </c>
      <c r="C26" s="1">
        <f>'O-imap_lo_I1b_histrates_DOY058'!C26-DE_DOY58_histfilter!D26</f>
        <v>0</v>
      </c>
      <c r="D26" s="1">
        <f>'O-imap_lo_I1b_histrates_DOY058'!D26-DE_DOY58_histfilter!E26</f>
        <v>0</v>
      </c>
      <c r="E26" s="1">
        <f>'O-imap_lo_I1b_histrates_DOY058'!E26-DE_DOY58_histfilter!F26</f>
        <v>-1</v>
      </c>
      <c r="F26" s="1">
        <f>'O-imap_lo_I1b_histrates_DOY058'!F26-DE_DOY58_histfilter!G26</f>
        <v>0</v>
      </c>
      <c r="G26" s="1">
        <f>'O-imap_lo_I1b_histrates_DOY058'!G26-DE_DOY58_histfilter!H26</f>
        <v>0</v>
      </c>
      <c r="H26" s="1">
        <f>'O-imap_lo_I1b_histrates_DOY058'!H26-DE_DOY58_histfilter!I26</f>
        <v>1</v>
      </c>
      <c r="J26">
        <f t="shared" si="1"/>
        <v>135</v>
      </c>
    </row>
    <row r="27" spans="1:10" x14ac:dyDescent="0.2">
      <c r="A27">
        <v>23</v>
      </c>
      <c r="B27" s="1">
        <f>'O-imap_lo_I1b_histrates_DOY058'!B27-DE_DOY58_histfilter!C27</f>
        <v>-1</v>
      </c>
      <c r="C27" s="1">
        <f>'O-imap_lo_I1b_histrates_DOY058'!C27-DE_DOY58_histfilter!D27</f>
        <v>0</v>
      </c>
      <c r="D27" s="1">
        <f>'O-imap_lo_I1b_histrates_DOY058'!D27-DE_DOY58_histfilter!E27</f>
        <v>0</v>
      </c>
      <c r="E27" s="1">
        <f>'O-imap_lo_I1b_histrates_DOY058'!E27-DE_DOY58_histfilter!F27</f>
        <v>0</v>
      </c>
      <c r="F27" s="1">
        <f>'O-imap_lo_I1b_histrates_DOY058'!F27-DE_DOY58_histfilter!G27</f>
        <v>0</v>
      </c>
      <c r="G27" s="1">
        <f>'O-imap_lo_I1b_histrates_DOY058'!G27-DE_DOY58_histfilter!H27</f>
        <v>0</v>
      </c>
      <c r="H27" s="1">
        <f>'O-imap_lo_I1b_histrates_DOY058'!H27-DE_DOY58_histfilter!I27</f>
        <v>-1</v>
      </c>
      <c r="J27">
        <f t="shared" si="1"/>
        <v>141</v>
      </c>
    </row>
    <row r="28" spans="1:10" x14ac:dyDescent="0.2">
      <c r="A28">
        <v>24</v>
      </c>
      <c r="B28" s="1">
        <f>'O-imap_lo_I1b_histrates_DOY058'!B28-DE_DOY58_histfilter!C28</f>
        <v>0</v>
      </c>
      <c r="C28" s="1">
        <f>'O-imap_lo_I1b_histrates_DOY058'!C28-DE_DOY58_histfilter!D28</f>
        <v>0</v>
      </c>
      <c r="D28" s="1">
        <f>'O-imap_lo_I1b_histrates_DOY058'!D28-DE_DOY58_histfilter!E28</f>
        <v>0</v>
      </c>
      <c r="E28" s="1">
        <f>'O-imap_lo_I1b_histrates_DOY058'!E28-DE_DOY58_histfilter!F28</f>
        <v>0</v>
      </c>
      <c r="F28" s="1">
        <f>'O-imap_lo_I1b_histrates_DOY058'!F28-DE_DOY58_histfilter!G28</f>
        <v>0</v>
      </c>
      <c r="G28" s="1">
        <f>'O-imap_lo_I1b_histrates_DOY058'!G28-DE_DOY58_histfilter!H28</f>
        <v>0</v>
      </c>
      <c r="H28" s="1">
        <f>'O-imap_lo_I1b_histrates_DOY058'!H28-DE_DOY58_histfilter!I28</f>
        <v>0</v>
      </c>
      <c r="J28">
        <f t="shared" si="1"/>
        <v>147</v>
      </c>
    </row>
    <row r="29" spans="1:10" x14ac:dyDescent="0.2">
      <c r="A29">
        <v>25</v>
      </c>
      <c r="B29" s="1">
        <f>'O-imap_lo_I1b_histrates_DOY058'!B29-DE_DOY58_histfilter!C29</f>
        <v>0</v>
      </c>
      <c r="C29" s="1">
        <f>'O-imap_lo_I1b_histrates_DOY058'!C29-DE_DOY58_histfilter!D29</f>
        <v>0</v>
      </c>
      <c r="D29" s="1">
        <f>'O-imap_lo_I1b_histrates_DOY058'!D29-DE_DOY58_histfilter!E29</f>
        <v>0</v>
      </c>
      <c r="E29" s="1">
        <f>'O-imap_lo_I1b_histrates_DOY058'!E29-DE_DOY58_histfilter!F29</f>
        <v>0</v>
      </c>
      <c r="F29" s="1">
        <f>'O-imap_lo_I1b_histrates_DOY058'!F29-DE_DOY58_histfilter!G29</f>
        <v>0</v>
      </c>
      <c r="G29" s="1">
        <f>'O-imap_lo_I1b_histrates_DOY058'!G29-DE_DOY58_histfilter!H29</f>
        <v>0</v>
      </c>
      <c r="H29" s="1">
        <f>'O-imap_lo_I1b_histrates_DOY058'!H29-DE_DOY58_histfilter!I29</f>
        <v>0</v>
      </c>
      <c r="J29">
        <f t="shared" si="1"/>
        <v>153</v>
      </c>
    </row>
    <row r="30" spans="1:10" x14ac:dyDescent="0.2">
      <c r="A30">
        <v>26</v>
      </c>
      <c r="B30" s="1">
        <f>'O-imap_lo_I1b_histrates_DOY058'!B30-DE_DOY58_histfilter!C30</f>
        <v>0</v>
      </c>
      <c r="C30" s="1">
        <f>'O-imap_lo_I1b_histrates_DOY058'!C30-DE_DOY58_histfilter!D30</f>
        <v>0</v>
      </c>
      <c r="D30" s="1">
        <f>'O-imap_lo_I1b_histrates_DOY058'!D30-DE_DOY58_histfilter!E30</f>
        <v>0</v>
      </c>
      <c r="E30" s="1">
        <f>'O-imap_lo_I1b_histrates_DOY058'!E30-DE_DOY58_histfilter!F30</f>
        <v>0</v>
      </c>
      <c r="F30" s="1">
        <f>'O-imap_lo_I1b_histrates_DOY058'!F30-DE_DOY58_histfilter!G30</f>
        <v>0</v>
      </c>
      <c r="G30" s="1">
        <f>'O-imap_lo_I1b_histrates_DOY058'!G30-DE_DOY58_histfilter!H30</f>
        <v>0</v>
      </c>
      <c r="H30" s="1">
        <f>'O-imap_lo_I1b_histrates_DOY058'!H30-DE_DOY58_histfilter!I30</f>
        <v>0</v>
      </c>
      <c r="J30">
        <f t="shared" si="1"/>
        <v>159</v>
      </c>
    </row>
    <row r="31" spans="1:10" x14ac:dyDescent="0.2">
      <c r="A31">
        <v>27</v>
      </c>
      <c r="B31" s="1">
        <f>'O-imap_lo_I1b_histrates_DOY058'!B31-DE_DOY58_histfilter!C31</f>
        <v>0</v>
      </c>
      <c r="C31" s="1">
        <f>'O-imap_lo_I1b_histrates_DOY058'!C31-DE_DOY58_histfilter!D31</f>
        <v>0</v>
      </c>
      <c r="D31" s="1">
        <f>'O-imap_lo_I1b_histrates_DOY058'!D31-DE_DOY58_histfilter!E31</f>
        <v>0</v>
      </c>
      <c r="E31" s="1">
        <f>'O-imap_lo_I1b_histrates_DOY058'!E31-DE_DOY58_histfilter!F31</f>
        <v>0</v>
      </c>
      <c r="F31" s="1">
        <f>'O-imap_lo_I1b_histrates_DOY058'!F31-DE_DOY58_histfilter!G31</f>
        <v>0</v>
      </c>
      <c r="G31" s="1">
        <f>'O-imap_lo_I1b_histrates_DOY058'!G31-DE_DOY58_histfilter!H31</f>
        <v>0</v>
      </c>
      <c r="H31" s="1">
        <f>'O-imap_lo_I1b_histrates_DOY058'!H31-DE_DOY58_histfilter!I31</f>
        <v>0</v>
      </c>
      <c r="J31">
        <f t="shared" si="1"/>
        <v>165</v>
      </c>
    </row>
    <row r="32" spans="1:10" x14ac:dyDescent="0.2">
      <c r="A32">
        <v>28</v>
      </c>
      <c r="B32" s="1">
        <f>'O-imap_lo_I1b_histrates_DOY058'!B32-DE_DOY58_histfilter!C32</f>
        <v>0</v>
      </c>
      <c r="C32" s="1">
        <f>'O-imap_lo_I1b_histrates_DOY058'!C32-DE_DOY58_histfilter!D32</f>
        <v>0</v>
      </c>
      <c r="D32" s="1">
        <f>'O-imap_lo_I1b_histrates_DOY058'!D32-DE_DOY58_histfilter!E32</f>
        <v>0</v>
      </c>
      <c r="E32" s="1">
        <f>'O-imap_lo_I1b_histrates_DOY058'!E32-DE_DOY58_histfilter!F32</f>
        <v>0</v>
      </c>
      <c r="F32" s="1">
        <f>'O-imap_lo_I1b_histrates_DOY058'!F32-DE_DOY58_histfilter!G32</f>
        <v>0</v>
      </c>
      <c r="G32" s="1">
        <f>'O-imap_lo_I1b_histrates_DOY058'!G32-DE_DOY58_histfilter!H32</f>
        <v>0</v>
      </c>
      <c r="H32" s="1">
        <f>'O-imap_lo_I1b_histrates_DOY058'!H32-DE_DOY58_histfilter!I32</f>
        <v>0</v>
      </c>
      <c r="J32">
        <f t="shared" si="1"/>
        <v>171</v>
      </c>
    </row>
    <row r="33" spans="1:10" x14ac:dyDescent="0.2">
      <c r="A33">
        <v>29</v>
      </c>
      <c r="B33" s="1">
        <f>'O-imap_lo_I1b_histrates_DOY058'!B33-DE_DOY58_histfilter!C33</f>
        <v>0</v>
      </c>
      <c r="C33" s="1">
        <f>'O-imap_lo_I1b_histrates_DOY058'!C33-DE_DOY58_histfilter!D33</f>
        <v>0</v>
      </c>
      <c r="D33" s="1">
        <f>'O-imap_lo_I1b_histrates_DOY058'!D33-DE_DOY58_histfilter!E33</f>
        <v>0</v>
      </c>
      <c r="E33" s="1">
        <f>'O-imap_lo_I1b_histrates_DOY058'!E33-DE_DOY58_histfilter!F33</f>
        <v>0</v>
      </c>
      <c r="F33" s="1">
        <f>'O-imap_lo_I1b_histrates_DOY058'!F33-DE_DOY58_histfilter!G33</f>
        <v>0</v>
      </c>
      <c r="G33" s="1">
        <f>'O-imap_lo_I1b_histrates_DOY058'!G33-DE_DOY58_histfilter!H33</f>
        <v>0</v>
      </c>
      <c r="H33" s="1">
        <f>'O-imap_lo_I1b_histrates_DOY058'!H33-DE_DOY58_histfilter!I33</f>
        <v>0</v>
      </c>
      <c r="J33">
        <f t="shared" si="1"/>
        <v>177</v>
      </c>
    </row>
    <row r="34" spans="1:10" x14ac:dyDescent="0.2">
      <c r="A34">
        <v>30</v>
      </c>
      <c r="B34" s="1">
        <f>'O-imap_lo_I1b_histrates_DOY058'!B34-DE_DOY58_histfilter!C34</f>
        <v>0</v>
      </c>
      <c r="C34" s="1">
        <f>'O-imap_lo_I1b_histrates_DOY058'!C34-DE_DOY58_histfilter!D34</f>
        <v>0</v>
      </c>
      <c r="D34" s="1">
        <f>'O-imap_lo_I1b_histrates_DOY058'!D34-DE_DOY58_histfilter!E34</f>
        <v>0</v>
      </c>
      <c r="E34" s="1">
        <f>'O-imap_lo_I1b_histrates_DOY058'!E34-DE_DOY58_histfilter!F34</f>
        <v>0</v>
      </c>
      <c r="F34" s="1">
        <f>'O-imap_lo_I1b_histrates_DOY058'!F34-DE_DOY58_histfilter!G34</f>
        <v>0</v>
      </c>
      <c r="G34" s="1">
        <f>'O-imap_lo_I1b_histrates_DOY058'!G34-DE_DOY58_histfilter!H34</f>
        <v>0</v>
      </c>
      <c r="H34" s="1">
        <f>'O-imap_lo_I1b_histrates_DOY058'!H34-DE_DOY58_histfilter!I34</f>
        <v>0</v>
      </c>
      <c r="J34">
        <f t="shared" si="1"/>
        <v>183</v>
      </c>
    </row>
    <row r="35" spans="1:10" x14ac:dyDescent="0.2">
      <c r="A35">
        <v>31</v>
      </c>
      <c r="B35" s="1">
        <f>'O-imap_lo_I1b_histrates_DOY058'!B35-DE_DOY58_histfilter!C35</f>
        <v>0</v>
      </c>
      <c r="C35" s="1">
        <f>'O-imap_lo_I1b_histrates_DOY058'!C35-DE_DOY58_histfilter!D35</f>
        <v>0</v>
      </c>
      <c r="D35" s="1">
        <f>'O-imap_lo_I1b_histrates_DOY058'!D35-DE_DOY58_histfilter!E35</f>
        <v>0</v>
      </c>
      <c r="E35" s="1">
        <f>'O-imap_lo_I1b_histrates_DOY058'!E35-DE_DOY58_histfilter!F35</f>
        <v>0</v>
      </c>
      <c r="F35" s="1">
        <f>'O-imap_lo_I1b_histrates_DOY058'!F35-DE_DOY58_histfilter!G35</f>
        <v>0</v>
      </c>
      <c r="G35" s="1">
        <f>'O-imap_lo_I1b_histrates_DOY058'!G35-DE_DOY58_histfilter!H35</f>
        <v>0</v>
      </c>
      <c r="H35" s="1">
        <f>'O-imap_lo_I1b_histrates_DOY058'!H35-DE_DOY58_histfilter!I35</f>
        <v>0</v>
      </c>
      <c r="J35">
        <f t="shared" si="1"/>
        <v>189</v>
      </c>
    </row>
    <row r="36" spans="1:10" x14ac:dyDescent="0.2">
      <c r="A36">
        <v>32</v>
      </c>
      <c r="B36" s="1">
        <f>'O-imap_lo_I1b_histrates_DOY058'!B36-DE_DOY58_histfilter!C36</f>
        <v>0</v>
      </c>
      <c r="C36" s="1">
        <f>'O-imap_lo_I1b_histrates_DOY058'!C36-DE_DOY58_histfilter!D36</f>
        <v>0</v>
      </c>
      <c r="D36" s="1">
        <f>'O-imap_lo_I1b_histrates_DOY058'!D36-DE_DOY58_histfilter!E36</f>
        <v>0</v>
      </c>
      <c r="E36" s="1">
        <f>'O-imap_lo_I1b_histrates_DOY058'!E36-DE_DOY58_histfilter!F36</f>
        <v>0</v>
      </c>
      <c r="F36" s="1">
        <f>'O-imap_lo_I1b_histrates_DOY058'!F36-DE_DOY58_histfilter!G36</f>
        <v>1</v>
      </c>
      <c r="G36" s="1">
        <f>'O-imap_lo_I1b_histrates_DOY058'!G36-DE_DOY58_histfilter!H36</f>
        <v>0</v>
      </c>
      <c r="H36" s="1">
        <f>'O-imap_lo_I1b_histrates_DOY058'!H36-DE_DOY58_histfilter!I36</f>
        <v>0</v>
      </c>
      <c r="J36">
        <f t="shared" si="1"/>
        <v>195</v>
      </c>
    </row>
    <row r="37" spans="1:10" x14ac:dyDescent="0.2">
      <c r="A37">
        <v>33</v>
      </c>
      <c r="B37" s="1">
        <f>'O-imap_lo_I1b_histrates_DOY058'!B37-DE_DOY58_histfilter!C37</f>
        <v>0</v>
      </c>
      <c r="C37" s="1">
        <f>'O-imap_lo_I1b_histrates_DOY058'!C37-DE_DOY58_histfilter!D37</f>
        <v>0</v>
      </c>
      <c r="D37" s="1">
        <f>'O-imap_lo_I1b_histrates_DOY058'!D37-DE_DOY58_histfilter!E37</f>
        <v>0</v>
      </c>
      <c r="E37" s="1">
        <f>'O-imap_lo_I1b_histrates_DOY058'!E37-DE_DOY58_histfilter!F37</f>
        <v>0</v>
      </c>
      <c r="F37" s="1">
        <f>'O-imap_lo_I1b_histrates_DOY058'!F37-DE_DOY58_histfilter!G37</f>
        <v>-1</v>
      </c>
      <c r="G37" s="1">
        <f>'O-imap_lo_I1b_histrates_DOY058'!G37-DE_DOY58_histfilter!H37</f>
        <v>0</v>
      </c>
      <c r="H37" s="1">
        <f>'O-imap_lo_I1b_histrates_DOY058'!H37-DE_DOY58_histfilter!I37</f>
        <v>2</v>
      </c>
      <c r="J37">
        <f t="shared" si="1"/>
        <v>201</v>
      </c>
    </row>
    <row r="38" spans="1:10" x14ac:dyDescent="0.2">
      <c r="A38">
        <v>34</v>
      </c>
      <c r="B38" s="1">
        <f>'O-imap_lo_I1b_histrates_DOY058'!B38-DE_DOY58_histfilter!C38</f>
        <v>0</v>
      </c>
      <c r="C38" s="1">
        <f>'O-imap_lo_I1b_histrates_DOY058'!C38-DE_DOY58_histfilter!D38</f>
        <v>0</v>
      </c>
      <c r="D38" s="1">
        <f>'O-imap_lo_I1b_histrates_DOY058'!D38-DE_DOY58_histfilter!E38</f>
        <v>0</v>
      </c>
      <c r="E38" s="1">
        <f>'O-imap_lo_I1b_histrates_DOY058'!E38-DE_DOY58_histfilter!F38</f>
        <v>0</v>
      </c>
      <c r="F38" s="1">
        <f>'O-imap_lo_I1b_histrates_DOY058'!F38-DE_DOY58_histfilter!G38</f>
        <v>0</v>
      </c>
      <c r="G38" s="1">
        <f>'O-imap_lo_I1b_histrates_DOY058'!G38-DE_DOY58_histfilter!H38</f>
        <v>0</v>
      </c>
      <c r="H38" s="1">
        <f>'O-imap_lo_I1b_histrates_DOY058'!H38-DE_DOY58_histfilter!I38</f>
        <v>-2</v>
      </c>
      <c r="J38">
        <f t="shared" si="1"/>
        <v>207</v>
      </c>
    </row>
    <row r="39" spans="1:10" x14ac:dyDescent="0.2">
      <c r="A39">
        <v>35</v>
      </c>
      <c r="B39" s="1">
        <f>'O-imap_lo_I1b_histrates_DOY058'!B39-DE_DOY58_histfilter!C39</f>
        <v>0</v>
      </c>
      <c r="C39" s="1">
        <f>'O-imap_lo_I1b_histrates_DOY058'!C39-DE_DOY58_histfilter!D39</f>
        <v>0</v>
      </c>
      <c r="D39" s="1">
        <f>'O-imap_lo_I1b_histrates_DOY058'!D39-DE_DOY58_histfilter!E39</f>
        <v>0</v>
      </c>
      <c r="E39" s="1">
        <f>'O-imap_lo_I1b_histrates_DOY058'!E39-DE_DOY58_histfilter!F39</f>
        <v>0</v>
      </c>
      <c r="F39" s="1">
        <f>'O-imap_lo_I1b_histrates_DOY058'!F39-DE_DOY58_histfilter!G39</f>
        <v>0</v>
      </c>
      <c r="G39" s="1">
        <f>'O-imap_lo_I1b_histrates_DOY058'!G39-DE_DOY58_histfilter!H39</f>
        <v>0</v>
      </c>
      <c r="H39" s="1">
        <f>'O-imap_lo_I1b_histrates_DOY058'!H39-DE_DOY58_histfilter!I39</f>
        <v>1</v>
      </c>
      <c r="J39">
        <f t="shared" si="1"/>
        <v>213</v>
      </c>
    </row>
    <row r="40" spans="1:10" x14ac:dyDescent="0.2">
      <c r="A40">
        <v>36</v>
      </c>
      <c r="B40" s="1">
        <f>'O-imap_lo_I1b_histrates_DOY058'!B40-DE_DOY58_histfilter!C40</f>
        <v>0</v>
      </c>
      <c r="C40" s="1">
        <f>'O-imap_lo_I1b_histrates_DOY058'!C40-DE_DOY58_histfilter!D40</f>
        <v>1</v>
      </c>
      <c r="D40" s="1">
        <f>'O-imap_lo_I1b_histrates_DOY058'!D40-DE_DOY58_histfilter!E40</f>
        <v>0</v>
      </c>
      <c r="E40" s="1">
        <f>'O-imap_lo_I1b_histrates_DOY058'!E40-DE_DOY58_histfilter!F40</f>
        <v>0</v>
      </c>
      <c r="F40" s="1">
        <f>'O-imap_lo_I1b_histrates_DOY058'!F40-DE_DOY58_histfilter!G40</f>
        <v>0</v>
      </c>
      <c r="G40" s="1">
        <f>'O-imap_lo_I1b_histrates_DOY058'!G40-DE_DOY58_histfilter!H40</f>
        <v>0</v>
      </c>
      <c r="H40" s="1">
        <f>'O-imap_lo_I1b_histrates_DOY058'!H40-DE_DOY58_histfilter!I40</f>
        <v>-1</v>
      </c>
      <c r="J40">
        <f t="shared" si="1"/>
        <v>219</v>
      </c>
    </row>
    <row r="41" spans="1:10" x14ac:dyDescent="0.2">
      <c r="A41">
        <v>37</v>
      </c>
      <c r="B41" s="1">
        <f>'O-imap_lo_I1b_histrates_DOY058'!B41-DE_DOY58_histfilter!C41</f>
        <v>0</v>
      </c>
      <c r="C41" s="1">
        <f>'O-imap_lo_I1b_histrates_DOY058'!C41-DE_DOY58_histfilter!D41</f>
        <v>-1</v>
      </c>
      <c r="D41" s="1">
        <f>'O-imap_lo_I1b_histrates_DOY058'!D41-DE_DOY58_histfilter!E41</f>
        <v>0</v>
      </c>
      <c r="E41" s="1">
        <f>'O-imap_lo_I1b_histrates_DOY058'!E41-DE_DOY58_histfilter!F41</f>
        <v>1</v>
      </c>
      <c r="F41" s="1">
        <f>'O-imap_lo_I1b_histrates_DOY058'!F41-DE_DOY58_histfilter!G41</f>
        <v>0</v>
      </c>
      <c r="G41" s="1">
        <f>'O-imap_lo_I1b_histrates_DOY058'!G41-DE_DOY58_histfilter!H41</f>
        <v>0</v>
      </c>
      <c r="H41" s="1">
        <f>'O-imap_lo_I1b_histrates_DOY058'!H41-DE_DOY58_histfilter!I41</f>
        <v>0</v>
      </c>
      <c r="J41">
        <f t="shared" si="1"/>
        <v>225</v>
      </c>
    </row>
    <row r="42" spans="1:10" x14ac:dyDescent="0.2">
      <c r="A42">
        <v>38</v>
      </c>
      <c r="B42" s="1">
        <f>'O-imap_lo_I1b_histrates_DOY058'!B42-DE_DOY58_histfilter!C42</f>
        <v>0</v>
      </c>
      <c r="C42" s="1">
        <f>'O-imap_lo_I1b_histrates_DOY058'!C42-DE_DOY58_histfilter!D42</f>
        <v>0</v>
      </c>
      <c r="D42" s="1">
        <f>'O-imap_lo_I1b_histrates_DOY058'!D42-DE_DOY58_histfilter!E42</f>
        <v>0</v>
      </c>
      <c r="E42" s="1">
        <f>'O-imap_lo_I1b_histrates_DOY058'!E42-DE_DOY58_histfilter!F42</f>
        <v>-1</v>
      </c>
      <c r="F42" s="1">
        <f>'O-imap_lo_I1b_histrates_DOY058'!F42-DE_DOY58_histfilter!G42</f>
        <v>0</v>
      </c>
      <c r="G42" s="1">
        <f>'O-imap_lo_I1b_histrates_DOY058'!G42-DE_DOY58_histfilter!H42</f>
        <v>0</v>
      </c>
      <c r="H42" s="1">
        <f>'O-imap_lo_I1b_histrates_DOY058'!H42-DE_DOY58_histfilter!I42</f>
        <v>0</v>
      </c>
      <c r="J42">
        <f t="shared" si="1"/>
        <v>231</v>
      </c>
    </row>
    <row r="43" spans="1:10" x14ac:dyDescent="0.2">
      <c r="A43">
        <v>39</v>
      </c>
      <c r="B43" s="1">
        <f>'O-imap_lo_I1b_histrates_DOY058'!B43-DE_DOY58_histfilter!C43</f>
        <v>0</v>
      </c>
      <c r="C43" s="1">
        <f>'O-imap_lo_I1b_histrates_DOY058'!C43-DE_DOY58_histfilter!D43</f>
        <v>0</v>
      </c>
      <c r="D43" s="1">
        <f>'O-imap_lo_I1b_histrates_DOY058'!D43-DE_DOY58_histfilter!E43</f>
        <v>0</v>
      </c>
      <c r="E43" s="1">
        <f>'O-imap_lo_I1b_histrates_DOY058'!E43-DE_DOY58_histfilter!F43</f>
        <v>0</v>
      </c>
      <c r="F43" s="1">
        <f>'O-imap_lo_I1b_histrates_DOY058'!F43-DE_DOY58_histfilter!G43</f>
        <v>0</v>
      </c>
      <c r="G43" s="1">
        <f>'O-imap_lo_I1b_histrates_DOY058'!G43-DE_DOY58_histfilter!H43</f>
        <v>0</v>
      </c>
      <c r="H43" s="1">
        <f>'O-imap_lo_I1b_histrates_DOY058'!H43-DE_DOY58_histfilter!I43</f>
        <v>0</v>
      </c>
      <c r="J43">
        <f t="shared" si="1"/>
        <v>237</v>
      </c>
    </row>
    <row r="44" spans="1:10" x14ac:dyDescent="0.2">
      <c r="A44">
        <v>40</v>
      </c>
      <c r="B44" s="1">
        <f>'O-imap_lo_I1b_histrates_DOY058'!B44-DE_DOY58_histfilter!C44</f>
        <v>0</v>
      </c>
      <c r="C44" s="1">
        <f>'O-imap_lo_I1b_histrates_DOY058'!C44-DE_DOY58_histfilter!D44</f>
        <v>0</v>
      </c>
      <c r="D44" s="1">
        <f>'O-imap_lo_I1b_histrates_DOY058'!D44-DE_DOY58_histfilter!E44</f>
        <v>0</v>
      </c>
      <c r="E44" s="1">
        <f>'O-imap_lo_I1b_histrates_DOY058'!E44-DE_DOY58_histfilter!F44</f>
        <v>0</v>
      </c>
      <c r="F44" s="1">
        <f>'O-imap_lo_I1b_histrates_DOY058'!F44-DE_DOY58_histfilter!G44</f>
        <v>0</v>
      </c>
      <c r="G44" s="1">
        <f>'O-imap_lo_I1b_histrates_DOY058'!G44-DE_DOY58_histfilter!H44</f>
        <v>0</v>
      </c>
      <c r="H44" s="1">
        <f>'O-imap_lo_I1b_histrates_DOY058'!H44-DE_DOY58_histfilter!I44</f>
        <v>0</v>
      </c>
      <c r="J44">
        <f t="shared" si="1"/>
        <v>243</v>
      </c>
    </row>
    <row r="45" spans="1:10" x14ac:dyDescent="0.2">
      <c r="A45">
        <v>41</v>
      </c>
      <c r="B45" s="1">
        <f>'O-imap_lo_I1b_histrates_DOY058'!B45-DE_DOY58_histfilter!C45</f>
        <v>0</v>
      </c>
      <c r="C45" s="1">
        <f>'O-imap_lo_I1b_histrates_DOY058'!C45-DE_DOY58_histfilter!D45</f>
        <v>0</v>
      </c>
      <c r="D45" s="1">
        <f>'O-imap_lo_I1b_histrates_DOY058'!D45-DE_DOY58_histfilter!E45</f>
        <v>0</v>
      </c>
      <c r="E45" s="1">
        <f>'O-imap_lo_I1b_histrates_DOY058'!E45-DE_DOY58_histfilter!F45</f>
        <v>0</v>
      </c>
      <c r="F45" s="1">
        <f>'O-imap_lo_I1b_histrates_DOY058'!F45-DE_DOY58_histfilter!G45</f>
        <v>0</v>
      </c>
      <c r="G45" s="1">
        <f>'O-imap_lo_I1b_histrates_DOY058'!G45-DE_DOY58_histfilter!H45</f>
        <v>0</v>
      </c>
      <c r="H45" s="1">
        <f>'O-imap_lo_I1b_histrates_DOY058'!H45-DE_DOY58_histfilter!I45</f>
        <v>0</v>
      </c>
      <c r="J45">
        <f t="shared" si="1"/>
        <v>249</v>
      </c>
    </row>
    <row r="46" spans="1:10" x14ac:dyDescent="0.2">
      <c r="A46">
        <v>42</v>
      </c>
      <c r="B46" s="1">
        <f>'O-imap_lo_I1b_histrates_DOY058'!B46-DE_DOY58_histfilter!C46</f>
        <v>0</v>
      </c>
      <c r="C46" s="1">
        <f>'O-imap_lo_I1b_histrates_DOY058'!C46-DE_DOY58_histfilter!D46</f>
        <v>0</v>
      </c>
      <c r="D46" s="1">
        <f>'O-imap_lo_I1b_histrates_DOY058'!D46-DE_DOY58_histfilter!E46</f>
        <v>0</v>
      </c>
      <c r="E46" s="1">
        <f>'O-imap_lo_I1b_histrates_DOY058'!E46-DE_DOY58_histfilter!F46</f>
        <v>0</v>
      </c>
      <c r="F46" s="1">
        <f>'O-imap_lo_I1b_histrates_DOY058'!F46-DE_DOY58_histfilter!G46</f>
        <v>0</v>
      </c>
      <c r="G46" s="1">
        <f>'O-imap_lo_I1b_histrates_DOY058'!G46-DE_DOY58_histfilter!H46</f>
        <v>0</v>
      </c>
      <c r="H46" s="1">
        <f>'O-imap_lo_I1b_histrates_DOY058'!H46-DE_DOY58_histfilter!I46</f>
        <v>0</v>
      </c>
      <c r="J46">
        <f t="shared" si="1"/>
        <v>255</v>
      </c>
    </row>
    <row r="47" spans="1:10" x14ac:dyDescent="0.2">
      <c r="A47">
        <v>43</v>
      </c>
      <c r="B47" s="1">
        <f>'O-imap_lo_I1b_histrates_DOY058'!B47-DE_DOY58_histfilter!C47</f>
        <v>0</v>
      </c>
      <c r="C47" s="1">
        <f>'O-imap_lo_I1b_histrates_DOY058'!C47-DE_DOY58_histfilter!D47</f>
        <v>0</v>
      </c>
      <c r="D47" s="1">
        <f>'O-imap_lo_I1b_histrates_DOY058'!D47-DE_DOY58_histfilter!E47</f>
        <v>0</v>
      </c>
      <c r="E47" s="1">
        <f>'O-imap_lo_I1b_histrates_DOY058'!E47-DE_DOY58_histfilter!F47</f>
        <v>0</v>
      </c>
      <c r="F47" s="1">
        <f>'O-imap_lo_I1b_histrates_DOY058'!F47-DE_DOY58_histfilter!G47</f>
        <v>0</v>
      </c>
      <c r="G47" s="1">
        <f>'O-imap_lo_I1b_histrates_DOY058'!G47-DE_DOY58_histfilter!H47</f>
        <v>0</v>
      </c>
      <c r="H47" s="1">
        <f>'O-imap_lo_I1b_histrates_DOY058'!H47-DE_DOY58_histfilter!I47</f>
        <v>0</v>
      </c>
      <c r="J47">
        <f t="shared" si="1"/>
        <v>261</v>
      </c>
    </row>
    <row r="48" spans="1:10" x14ac:dyDescent="0.2">
      <c r="A48">
        <v>44</v>
      </c>
      <c r="B48" s="1">
        <f>'O-imap_lo_I1b_histrates_DOY058'!B48-DE_DOY58_histfilter!C48</f>
        <v>0</v>
      </c>
      <c r="C48" s="1">
        <f>'O-imap_lo_I1b_histrates_DOY058'!C48-DE_DOY58_histfilter!D48</f>
        <v>0</v>
      </c>
      <c r="D48" s="1">
        <f>'O-imap_lo_I1b_histrates_DOY058'!D48-DE_DOY58_histfilter!E48</f>
        <v>0</v>
      </c>
      <c r="E48" s="1">
        <f>'O-imap_lo_I1b_histrates_DOY058'!E48-DE_DOY58_histfilter!F48</f>
        <v>1</v>
      </c>
      <c r="F48" s="1">
        <f>'O-imap_lo_I1b_histrates_DOY058'!F48-DE_DOY58_histfilter!G48</f>
        <v>0</v>
      </c>
      <c r="G48" s="1">
        <f>'O-imap_lo_I1b_histrates_DOY058'!G48-DE_DOY58_histfilter!H48</f>
        <v>0</v>
      </c>
      <c r="H48" s="1">
        <f>'O-imap_lo_I1b_histrates_DOY058'!H48-DE_DOY58_histfilter!I48</f>
        <v>0</v>
      </c>
      <c r="J48">
        <f t="shared" si="1"/>
        <v>267</v>
      </c>
    </row>
    <row r="49" spans="1:10" x14ac:dyDescent="0.2">
      <c r="A49">
        <v>45</v>
      </c>
      <c r="B49" s="1">
        <f>'O-imap_lo_I1b_histrates_DOY058'!B49-DE_DOY58_histfilter!C49</f>
        <v>0</v>
      </c>
      <c r="C49" s="1">
        <f>'O-imap_lo_I1b_histrates_DOY058'!C49-DE_DOY58_histfilter!D49</f>
        <v>0</v>
      </c>
      <c r="D49" s="1">
        <f>'O-imap_lo_I1b_histrates_DOY058'!D49-DE_DOY58_histfilter!E49</f>
        <v>0</v>
      </c>
      <c r="E49" s="1">
        <f>'O-imap_lo_I1b_histrates_DOY058'!E49-DE_DOY58_histfilter!F49</f>
        <v>0</v>
      </c>
      <c r="F49" s="1">
        <f>'O-imap_lo_I1b_histrates_DOY058'!F49-DE_DOY58_histfilter!G49</f>
        <v>0</v>
      </c>
      <c r="G49" s="1">
        <f>'O-imap_lo_I1b_histrates_DOY058'!G49-DE_DOY58_histfilter!H49</f>
        <v>0</v>
      </c>
      <c r="H49" s="1">
        <f>'O-imap_lo_I1b_histrates_DOY058'!H49-DE_DOY58_histfilter!I49</f>
        <v>0</v>
      </c>
      <c r="J49">
        <f t="shared" si="1"/>
        <v>273</v>
      </c>
    </row>
    <row r="50" spans="1:10" x14ac:dyDescent="0.2">
      <c r="A50">
        <v>46</v>
      </c>
      <c r="B50" s="1">
        <f>'O-imap_lo_I1b_histrates_DOY058'!B50-DE_DOY58_histfilter!C50</f>
        <v>0</v>
      </c>
      <c r="C50" s="1">
        <f>'O-imap_lo_I1b_histrates_DOY058'!C50-DE_DOY58_histfilter!D50</f>
        <v>0</v>
      </c>
      <c r="D50" s="1">
        <f>'O-imap_lo_I1b_histrates_DOY058'!D50-DE_DOY58_histfilter!E50</f>
        <v>0</v>
      </c>
      <c r="E50" s="1">
        <f>'O-imap_lo_I1b_histrates_DOY058'!E50-DE_DOY58_histfilter!F50</f>
        <v>0</v>
      </c>
      <c r="F50" s="1">
        <f>'O-imap_lo_I1b_histrates_DOY058'!F50-DE_DOY58_histfilter!G50</f>
        <v>0</v>
      </c>
      <c r="G50" s="1">
        <f>'O-imap_lo_I1b_histrates_DOY058'!G50-DE_DOY58_histfilter!H50</f>
        <v>0</v>
      </c>
      <c r="H50" s="1">
        <f>'O-imap_lo_I1b_histrates_DOY058'!H50-DE_DOY58_histfilter!I50</f>
        <v>0</v>
      </c>
      <c r="J50">
        <f t="shared" si="1"/>
        <v>279</v>
      </c>
    </row>
    <row r="51" spans="1:10" x14ac:dyDescent="0.2">
      <c r="A51">
        <v>47</v>
      </c>
      <c r="B51" s="1">
        <f>'O-imap_lo_I1b_histrates_DOY058'!B51-DE_DOY58_histfilter!C51</f>
        <v>0</v>
      </c>
      <c r="C51" s="1">
        <f>'O-imap_lo_I1b_histrates_DOY058'!C51-DE_DOY58_histfilter!D51</f>
        <v>0</v>
      </c>
      <c r="D51" s="1">
        <f>'O-imap_lo_I1b_histrates_DOY058'!D51-DE_DOY58_histfilter!E51</f>
        <v>0</v>
      </c>
      <c r="E51" s="1">
        <f>'O-imap_lo_I1b_histrates_DOY058'!E51-DE_DOY58_histfilter!F51</f>
        <v>0</v>
      </c>
      <c r="F51" s="1">
        <f>'O-imap_lo_I1b_histrates_DOY058'!F51-DE_DOY58_histfilter!G51</f>
        <v>0</v>
      </c>
      <c r="G51" s="1">
        <f>'O-imap_lo_I1b_histrates_DOY058'!G51-DE_DOY58_histfilter!H51</f>
        <v>0</v>
      </c>
      <c r="H51" s="1">
        <f>'O-imap_lo_I1b_histrates_DOY058'!H51-DE_DOY58_histfilter!I51</f>
        <v>0</v>
      </c>
      <c r="J51">
        <f t="shared" si="1"/>
        <v>285</v>
      </c>
    </row>
    <row r="52" spans="1:10" x14ac:dyDescent="0.2">
      <c r="A52">
        <v>48</v>
      </c>
      <c r="B52" s="1">
        <f>'O-imap_lo_I1b_histrates_DOY058'!B52-DE_DOY58_histfilter!C52</f>
        <v>0</v>
      </c>
      <c r="C52" s="1">
        <f>'O-imap_lo_I1b_histrates_DOY058'!C52-DE_DOY58_histfilter!D52</f>
        <v>0</v>
      </c>
      <c r="D52" s="1">
        <f>'O-imap_lo_I1b_histrates_DOY058'!D52-DE_DOY58_histfilter!E52</f>
        <v>0</v>
      </c>
      <c r="E52" s="1">
        <f>'O-imap_lo_I1b_histrates_DOY058'!E52-DE_DOY58_histfilter!F52</f>
        <v>0</v>
      </c>
      <c r="F52" s="1">
        <f>'O-imap_lo_I1b_histrates_DOY058'!F52-DE_DOY58_histfilter!G52</f>
        <v>0</v>
      </c>
      <c r="G52" s="1">
        <f>'O-imap_lo_I1b_histrates_DOY058'!G52-DE_DOY58_histfilter!H52</f>
        <v>0</v>
      </c>
      <c r="H52" s="1">
        <f>'O-imap_lo_I1b_histrates_DOY058'!H52-DE_DOY58_histfilter!I52</f>
        <v>0</v>
      </c>
      <c r="J52">
        <f t="shared" si="1"/>
        <v>291</v>
      </c>
    </row>
    <row r="53" spans="1:10" x14ac:dyDescent="0.2">
      <c r="A53">
        <v>49</v>
      </c>
      <c r="B53" s="1">
        <f>'O-imap_lo_I1b_histrates_DOY058'!B53-DE_DOY58_histfilter!C53</f>
        <v>0</v>
      </c>
      <c r="C53" s="1">
        <f>'O-imap_lo_I1b_histrates_DOY058'!C53-DE_DOY58_histfilter!D53</f>
        <v>0</v>
      </c>
      <c r="D53" s="1">
        <f>'O-imap_lo_I1b_histrates_DOY058'!D53-DE_DOY58_histfilter!E53</f>
        <v>0</v>
      </c>
      <c r="E53" s="1">
        <f>'O-imap_lo_I1b_histrates_DOY058'!E53-DE_DOY58_histfilter!F53</f>
        <v>0</v>
      </c>
      <c r="F53" s="1">
        <f>'O-imap_lo_I1b_histrates_DOY058'!F53-DE_DOY58_histfilter!G53</f>
        <v>0</v>
      </c>
      <c r="G53" s="1">
        <f>'O-imap_lo_I1b_histrates_DOY058'!G53-DE_DOY58_histfilter!H53</f>
        <v>0</v>
      </c>
      <c r="H53" s="1">
        <f>'O-imap_lo_I1b_histrates_DOY058'!H53-DE_DOY58_histfilter!I53</f>
        <v>0</v>
      </c>
      <c r="J53">
        <f t="shared" si="1"/>
        <v>297</v>
      </c>
    </row>
    <row r="54" spans="1:10" x14ac:dyDescent="0.2">
      <c r="A54">
        <v>50</v>
      </c>
      <c r="B54" s="1">
        <f>'O-imap_lo_I1b_histrates_DOY058'!B54-DE_DOY58_histfilter!C54</f>
        <v>0</v>
      </c>
      <c r="C54" s="1">
        <f>'O-imap_lo_I1b_histrates_DOY058'!C54-DE_DOY58_histfilter!D54</f>
        <v>0</v>
      </c>
      <c r="D54" s="1">
        <f>'O-imap_lo_I1b_histrates_DOY058'!D54-DE_DOY58_histfilter!E54</f>
        <v>0</v>
      </c>
      <c r="E54" s="1">
        <f>'O-imap_lo_I1b_histrates_DOY058'!E54-DE_DOY58_histfilter!F54</f>
        <v>0</v>
      </c>
      <c r="F54" s="1">
        <f>'O-imap_lo_I1b_histrates_DOY058'!F54-DE_DOY58_histfilter!G54</f>
        <v>0</v>
      </c>
      <c r="G54" s="1">
        <f>'O-imap_lo_I1b_histrates_DOY058'!G54-DE_DOY58_histfilter!H54</f>
        <v>0</v>
      </c>
      <c r="H54" s="1">
        <f>'O-imap_lo_I1b_histrates_DOY058'!H54-DE_DOY58_histfilter!I54</f>
        <v>0</v>
      </c>
      <c r="J54">
        <f t="shared" si="1"/>
        <v>303</v>
      </c>
    </row>
    <row r="55" spans="1:10" x14ac:dyDescent="0.2">
      <c r="A55">
        <v>51</v>
      </c>
      <c r="B55" s="1">
        <f>'O-imap_lo_I1b_histrates_DOY058'!B55-DE_DOY58_histfilter!C55</f>
        <v>0</v>
      </c>
      <c r="C55" s="1">
        <f>'O-imap_lo_I1b_histrates_DOY058'!C55-DE_DOY58_histfilter!D55</f>
        <v>0</v>
      </c>
      <c r="D55" s="1">
        <f>'O-imap_lo_I1b_histrates_DOY058'!D55-DE_DOY58_histfilter!E55</f>
        <v>0</v>
      </c>
      <c r="E55" s="1">
        <f>'O-imap_lo_I1b_histrates_DOY058'!E55-DE_DOY58_histfilter!F55</f>
        <v>0</v>
      </c>
      <c r="F55" s="1">
        <f>'O-imap_lo_I1b_histrates_DOY058'!F55-DE_DOY58_histfilter!G55</f>
        <v>0</v>
      </c>
      <c r="G55" s="1">
        <f>'O-imap_lo_I1b_histrates_DOY058'!G55-DE_DOY58_histfilter!H55</f>
        <v>0</v>
      </c>
      <c r="H55" s="1">
        <f>'O-imap_lo_I1b_histrates_DOY058'!H55-DE_DOY58_histfilter!I55</f>
        <v>0</v>
      </c>
      <c r="J55">
        <f t="shared" si="1"/>
        <v>309</v>
      </c>
    </row>
    <row r="56" spans="1:10" x14ac:dyDescent="0.2">
      <c r="A56">
        <v>52</v>
      </c>
      <c r="B56" s="1">
        <f>'O-imap_lo_I1b_histrates_DOY058'!B56-DE_DOY58_histfilter!C56</f>
        <v>0</v>
      </c>
      <c r="C56" s="1">
        <f>'O-imap_lo_I1b_histrates_DOY058'!C56-DE_DOY58_histfilter!D56</f>
        <v>0</v>
      </c>
      <c r="D56" s="1">
        <f>'O-imap_lo_I1b_histrates_DOY058'!D56-DE_DOY58_histfilter!E56</f>
        <v>0</v>
      </c>
      <c r="E56" s="1">
        <f>'O-imap_lo_I1b_histrates_DOY058'!E56-DE_DOY58_histfilter!F56</f>
        <v>0</v>
      </c>
      <c r="F56" s="1">
        <f>'O-imap_lo_I1b_histrates_DOY058'!F56-DE_DOY58_histfilter!G56</f>
        <v>0</v>
      </c>
      <c r="G56" s="1">
        <f>'O-imap_lo_I1b_histrates_DOY058'!G56-DE_DOY58_histfilter!H56</f>
        <v>0</v>
      </c>
      <c r="H56" s="1">
        <f>'O-imap_lo_I1b_histrates_DOY058'!H56-DE_DOY58_histfilter!I56</f>
        <v>0</v>
      </c>
      <c r="J56">
        <f t="shared" si="1"/>
        <v>315</v>
      </c>
    </row>
    <row r="57" spans="1:10" x14ac:dyDescent="0.2">
      <c r="A57">
        <v>53</v>
      </c>
      <c r="B57" s="1">
        <f>'O-imap_lo_I1b_histrates_DOY058'!B57-DE_DOY58_histfilter!C57</f>
        <v>0</v>
      </c>
      <c r="C57" s="1">
        <f>'O-imap_lo_I1b_histrates_DOY058'!C57-DE_DOY58_histfilter!D57</f>
        <v>0</v>
      </c>
      <c r="D57" s="1">
        <f>'O-imap_lo_I1b_histrates_DOY058'!D57-DE_DOY58_histfilter!E57</f>
        <v>1</v>
      </c>
      <c r="E57" s="1">
        <f>'O-imap_lo_I1b_histrates_DOY058'!E57-DE_DOY58_histfilter!F57</f>
        <v>0</v>
      </c>
      <c r="F57" s="1">
        <f>'O-imap_lo_I1b_histrates_DOY058'!F57-DE_DOY58_histfilter!G57</f>
        <v>0</v>
      </c>
      <c r="G57" s="1">
        <f>'O-imap_lo_I1b_histrates_DOY058'!G57-DE_DOY58_histfilter!H57</f>
        <v>0</v>
      </c>
      <c r="H57" s="1">
        <f>'O-imap_lo_I1b_histrates_DOY058'!H57-DE_DOY58_histfilter!I57</f>
        <v>0</v>
      </c>
      <c r="J57">
        <f t="shared" si="1"/>
        <v>321</v>
      </c>
    </row>
    <row r="58" spans="1:10" x14ac:dyDescent="0.2">
      <c r="A58">
        <v>54</v>
      </c>
      <c r="B58" s="1">
        <f>'O-imap_lo_I1b_histrates_DOY058'!B58-DE_DOY58_histfilter!C58</f>
        <v>0</v>
      </c>
      <c r="C58" s="1">
        <f>'O-imap_lo_I1b_histrates_DOY058'!C58-DE_DOY58_histfilter!D58</f>
        <v>0</v>
      </c>
      <c r="D58" s="1">
        <f>'O-imap_lo_I1b_histrates_DOY058'!D58-DE_DOY58_histfilter!E58</f>
        <v>-1</v>
      </c>
      <c r="E58" s="1">
        <f>'O-imap_lo_I1b_histrates_DOY058'!E58-DE_DOY58_histfilter!F58</f>
        <v>0</v>
      </c>
      <c r="F58" s="1">
        <f>'O-imap_lo_I1b_histrates_DOY058'!F58-DE_DOY58_histfilter!G58</f>
        <v>0</v>
      </c>
      <c r="G58" s="1">
        <f>'O-imap_lo_I1b_histrates_DOY058'!G58-DE_DOY58_histfilter!H58</f>
        <v>0</v>
      </c>
      <c r="H58" s="1">
        <f>'O-imap_lo_I1b_histrates_DOY058'!H58-DE_DOY58_histfilter!I58</f>
        <v>0</v>
      </c>
      <c r="J58">
        <f t="shared" si="1"/>
        <v>327</v>
      </c>
    </row>
    <row r="59" spans="1:10" x14ac:dyDescent="0.2">
      <c r="A59">
        <v>55</v>
      </c>
      <c r="B59" s="1">
        <f>'O-imap_lo_I1b_histrates_DOY058'!B59-DE_DOY58_histfilter!C59</f>
        <v>0</v>
      </c>
      <c r="C59" s="1">
        <f>'O-imap_lo_I1b_histrates_DOY058'!C59-DE_DOY58_histfilter!D59</f>
        <v>0</v>
      </c>
      <c r="D59" s="1">
        <f>'O-imap_lo_I1b_histrates_DOY058'!D59-DE_DOY58_histfilter!E59</f>
        <v>0</v>
      </c>
      <c r="E59" s="1">
        <f>'O-imap_lo_I1b_histrates_DOY058'!E59-DE_DOY58_histfilter!F59</f>
        <v>0</v>
      </c>
      <c r="F59" s="1">
        <f>'O-imap_lo_I1b_histrates_DOY058'!F59-DE_DOY58_histfilter!G59</f>
        <v>0</v>
      </c>
      <c r="G59" s="1">
        <f>'O-imap_lo_I1b_histrates_DOY058'!G59-DE_DOY58_histfilter!H59</f>
        <v>0</v>
      </c>
      <c r="H59" s="1">
        <f>'O-imap_lo_I1b_histrates_DOY058'!H59-DE_DOY58_histfilter!I59</f>
        <v>0</v>
      </c>
      <c r="J59">
        <f t="shared" si="1"/>
        <v>333</v>
      </c>
    </row>
    <row r="60" spans="1:10" x14ac:dyDescent="0.2">
      <c r="A60">
        <v>56</v>
      </c>
      <c r="B60" s="1">
        <f>'O-imap_lo_I1b_histrates_DOY058'!B60-DE_DOY58_histfilter!C60</f>
        <v>0</v>
      </c>
      <c r="C60" s="1">
        <f>'O-imap_lo_I1b_histrates_DOY058'!C60-DE_DOY58_histfilter!D60</f>
        <v>0</v>
      </c>
      <c r="D60" s="1">
        <f>'O-imap_lo_I1b_histrates_DOY058'!D60-DE_DOY58_histfilter!E60</f>
        <v>0</v>
      </c>
      <c r="E60" s="1">
        <f>'O-imap_lo_I1b_histrates_DOY058'!E60-DE_DOY58_histfilter!F60</f>
        <v>0</v>
      </c>
      <c r="F60" s="1">
        <f>'O-imap_lo_I1b_histrates_DOY058'!F60-DE_DOY58_histfilter!G60</f>
        <v>0</v>
      </c>
      <c r="G60" s="1">
        <f>'O-imap_lo_I1b_histrates_DOY058'!G60-DE_DOY58_histfilter!H60</f>
        <v>0</v>
      </c>
      <c r="H60" s="1">
        <f>'O-imap_lo_I1b_histrates_DOY058'!H60-DE_DOY58_histfilter!I60</f>
        <v>0</v>
      </c>
      <c r="J60">
        <f t="shared" si="1"/>
        <v>339</v>
      </c>
    </row>
    <row r="61" spans="1:10" x14ac:dyDescent="0.2">
      <c r="A61">
        <v>57</v>
      </c>
      <c r="B61" s="1">
        <f>'O-imap_lo_I1b_histrates_DOY058'!B61-DE_DOY58_histfilter!C61</f>
        <v>0</v>
      </c>
      <c r="C61" s="1">
        <f>'O-imap_lo_I1b_histrates_DOY058'!C61-DE_DOY58_histfilter!D61</f>
        <v>0</v>
      </c>
      <c r="D61" s="1">
        <f>'O-imap_lo_I1b_histrates_DOY058'!D61-DE_DOY58_histfilter!E61</f>
        <v>0</v>
      </c>
      <c r="E61" s="1">
        <f>'O-imap_lo_I1b_histrates_DOY058'!E61-DE_DOY58_histfilter!F61</f>
        <v>0</v>
      </c>
      <c r="F61" s="1">
        <f>'O-imap_lo_I1b_histrates_DOY058'!F61-DE_DOY58_histfilter!G61</f>
        <v>0</v>
      </c>
      <c r="G61" s="1">
        <f>'O-imap_lo_I1b_histrates_DOY058'!G61-DE_DOY58_histfilter!H61</f>
        <v>1</v>
      </c>
      <c r="H61" s="1">
        <f>'O-imap_lo_I1b_histrates_DOY058'!H61-DE_DOY58_histfilter!I61</f>
        <v>0</v>
      </c>
      <c r="J61">
        <f t="shared" si="1"/>
        <v>345</v>
      </c>
    </row>
    <row r="62" spans="1:10" x14ac:dyDescent="0.2">
      <c r="A62">
        <v>58</v>
      </c>
      <c r="B62" s="1">
        <f>'O-imap_lo_I1b_histrates_DOY058'!B62-DE_DOY58_histfilter!C62</f>
        <v>0</v>
      </c>
      <c r="C62" s="1">
        <f>'O-imap_lo_I1b_histrates_DOY058'!C62-DE_DOY58_histfilter!D62</f>
        <v>0</v>
      </c>
      <c r="D62" s="1">
        <f>'O-imap_lo_I1b_histrates_DOY058'!D62-DE_DOY58_histfilter!E62</f>
        <v>0</v>
      </c>
      <c r="E62" s="1">
        <f>'O-imap_lo_I1b_histrates_DOY058'!E62-DE_DOY58_histfilter!F62</f>
        <v>0</v>
      </c>
      <c r="F62" s="1">
        <f>'O-imap_lo_I1b_histrates_DOY058'!F62-DE_DOY58_histfilter!G62</f>
        <v>0</v>
      </c>
      <c r="G62" s="1">
        <f>'O-imap_lo_I1b_histrates_DOY058'!G62-DE_DOY58_histfilter!H62</f>
        <v>-1</v>
      </c>
      <c r="H62" s="1">
        <f>'O-imap_lo_I1b_histrates_DOY058'!H62-DE_DOY58_histfilter!I62</f>
        <v>0</v>
      </c>
      <c r="J62">
        <f t="shared" si="1"/>
        <v>351</v>
      </c>
    </row>
    <row r="63" spans="1:10" x14ac:dyDescent="0.2">
      <c r="A63">
        <v>59</v>
      </c>
      <c r="B63" s="1">
        <f>'O-imap_lo_I1b_histrates_DOY058'!B63-DE_DOY58_histfilter!C63</f>
        <v>0</v>
      </c>
      <c r="C63" s="1">
        <f>'O-imap_lo_I1b_histrates_DOY058'!C63-DE_DOY58_histfilter!D63</f>
        <v>0</v>
      </c>
      <c r="D63" s="1">
        <f>'O-imap_lo_I1b_histrates_DOY058'!D63-DE_DOY58_histfilter!E63</f>
        <v>0</v>
      </c>
      <c r="E63" s="1">
        <f>'O-imap_lo_I1b_histrates_DOY058'!E63-DE_DOY58_histfilter!F63</f>
        <v>0</v>
      </c>
      <c r="F63" s="1">
        <f>'O-imap_lo_I1b_histrates_DOY058'!F63-DE_DOY58_histfilter!G63</f>
        <v>0</v>
      </c>
      <c r="G63" s="1">
        <f>'O-imap_lo_I1b_histrates_DOY058'!G63-DE_DOY58_histfilter!H63</f>
        <v>0</v>
      </c>
      <c r="H63" s="1">
        <f>'O-imap_lo_I1b_histrates_DOY058'!H63-DE_DOY58_histfilter!I63</f>
        <v>1</v>
      </c>
      <c r="J63">
        <f t="shared" si="1"/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EMv3_spinangle_O-DOY058_DEs_All</vt:lpstr>
      <vt:lpstr>EMv3_spin_new_O-DOY058_DEs_All</vt:lpstr>
      <vt:lpstr>DE_DOY58_histfilter</vt:lpstr>
      <vt:lpstr>O-imap_lo_I1b_histrates_DOY058</vt:lpstr>
      <vt:lpstr>Comparison_old</vt:lpstr>
      <vt:lpstr>Comparison_new</vt:lpstr>
      <vt:lpstr>Comparison_histfiter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Schwadron</cp:lastModifiedBy>
  <dcterms:created xsi:type="dcterms:W3CDTF">2026-03-20T16:37:27Z</dcterms:created>
  <dcterms:modified xsi:type="dcterms:W3CDTF">2026-03-22T13:10:15Z</dcterms:modified>
</cp:coreProperties>
</file>
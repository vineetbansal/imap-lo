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schwadron/Computer/IMAP_Lo/quickpipeline/diagnostics/"/>
    </mc:Choice>
  </mc:AlternateContent>
  <xr:revisionPtr revIDLastSave="0" documentId="13_ncr:1_{67B8EF3C-44A9-5D4C-9F30-B138AC962C74}" xr6:coauthVersionLast="47" xr6:coauthVersionMax="47" xr10:uidLastSave="{00000000-0000-0000-0000-000000000000}"/>
  <bookViews>
    <workbookView xWindow="28560" yWindow="2100" windowWidth="23780" windowHeight="15940" activeTab="1" xr2:uid="{0703A1CB-B303-4241-8D1B-C7DF6E1C1736}"/>
  </bookViews>
  <sheets>
    <sheet name="TOF example" sheetId="1" r:id="rId1"/>
    <sheet name="ADC value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" i="1" l="1"/>
  <c r="Q5" i="1" l="1"/>
  <c r="G2" i="2"/>
  <c r="W5" i="1"/>
  <c r="V5" i="1"/>
  <c r="U5" i="1"/>
  <c r="Y5" i="1" s="1"/>
  <c r="T5" i="1"/>
  <c r="Z5" i="1" s="1"/>
  <c r="P5" i="1"/>
  <c r="O5" i="1"/>
  <c r="N5" i="1"/>
  <c r="M5" i="1"/>
</calcChain>
</file>

<file path=xl/sharedStrings.xml><?xml version="1.0" encoding="utf-8"?>
<sst xmlns="http://schemas.openxmlformats.org/spreadsheetml/2006/main" count="65" uniqueCount="57">
  <si>
    <t>SHCOARSE</t>
  </si>
  <si>
    <t>ABSENT</t>
  </si>
  <si>
    <t>TIMESTAMP</t>
  </si>
  <si>
    <t>EGY</t>
  </si>
  <si>
    <t>MODE</t>
  </si>
  <si>
    <t>TOF0</t>
  </si>
  <si>
    <t>TOF1</t>
  </si>
  <si>
    <t>TOF2</t>
  </si>
  <si>
    <t>TOF3</t>
  </si>
  <si>
    <t>CHKSUM</t>
  </si>
  <si>
    <t>POSITION</t>
  </si>
  <si>
    <t>TOF0_left</t>
  </si>
  <si>
    <t>TOF1_left</t>
  </si>
  <si>
    <t>TOF2_left</t>
  </si>
  <si>
    <t>TOF3_left</t>
  </si>
  <si>
    <t>chk_left</t>
  </si>
  <si>
    <t>TOF1d</t>
  </si>
  <si>
    <t>TOF0[ns]</t>
  </si>
  <si>
    <t>TOF1[ns]</t>
  </si>
  <si>
    <t>TOF2[ns]</t>
  </si>
  <si>
    <t>TOF3[ns]</t>
  </si>
  <si>
    <t>TOF1s</t>
  </si>
  <si>
    <t>TOF0s</t>
  </si>
  <si>
    <r>
      <t>ADC_TOF0</t>
    </r>
    <r>
      <rPr>
        <sz val="12"/>
        <color rgb="FFCCCCCC"/>
        <rFont val="Menlo"/>
        <family val="2"/>
      </rPr>
      <t xml:space="preserve">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[</t>
    </r>
    <r>
      <rPr>
        <sz val="12"/>
        <color rgb="FFB5CEA8"/>
        <rFont val="Menlo"/>
        <family val="2"/>
      </rPr>
      <t>5.5252E-01</t>
    </r>
    <r>
      <rPr>
        <sz val="12"/>
        <color rgb="FFCCCCCC"/>
        <rFont val="Menlo"/>
        <family val="2"/>
      </rPr>
      <t xml:space="preserve"> , </t>
    </r>
    <r>
      <rPr>
        <sz val="12"/>
        <color rgb="FFB5CEA8"/>
        <rFont val="Menlo"/>
        <family val="2"/>
      </rPr>
      <t>1.6837E-01</t>
    </r>
    <r>
      <rPr>
        <sz val="12"/>
        <color rgb="FFCCCCCC"/>
        <rFont val="Menlo"/>
        <family val="2"/>
      </rPr>
      <t>]</t>
    </r>
  </si>
  <si>
    <r>
      <t>ADC_TOF1</t>
    </r>
    <r>
      <rPr>
        <sz val="12"/>
        <color rgb="FFCCCCCC"/>
        <rFont val="Menlo"/>
        <family val="2"/>
      </rPr>
      <t xml:space="preserve">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[</t>
    </r>
    <r>
      <rPr>
        <sz val="12"/>
        <color rgb="FFD4D4D4"/>
        <rFont val="Menlo"/>
        <family val="2"/>
      </rPr>
      <t>-</t>
    </r>
    <r>
      <rPr>
        <sz val="12"/>
        <color rgb="FFB5CEA8"/>
        <rFont val="Menlo"/>
        <family val="2"/>
      </rPr>
      <t>7.2018E-01</t>
    </r>
    <r>
      <rPr>
        <sz val="12"/>
        <color rgb="FFCCCCCC"/>
        <rFont val="Menlo"/>
        <family val="2"/>
      </rPr>
      <t xml:space="preserve">, </t>
    </r>
    <r>
      <rPr>
        <sz val="12"/>
        <color rgb="FFB5CEA8"/>
        <rFont val="Menlo"/>
        <family val="2"/>
      </rPr>
      <t>1.6512E-01</t>
    </r>
    <r>
      <rPr>
        <sz val="12"/>
        <color rgb="FFCCCCCC"/>
        <rFont val="Menlo"/>
        <family val="2"/>
      </rPr>
      <t>]</t>
    </r>
  </si>
  <si>
    <r>
      <t>ADC_TOF2</t>
    </r>
    <r>
      <rPr>
        <sz val="12"/>
        <color rgb="FFCCCCCC"/>
        <rFont val="Menlo"/>
        <family val="2"/>
      </rPr>
      <t xml:space="preserve">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[</t>
    </r>
    <r>
      <rPr>
        <sz val="12"/>
        <color rgb="FFB5CEA8"/>
        <rFont val="Menlo"/>
        <family val="2"/>
      </rPr>
      <t>3.7442E-01</t>
    </r>
    <r>
      <rPr>
        <sz val="12"/>
        <color rgb="FFCCCCCC"/>
        <rFont val="Menlo"/>
        <family val="2"/>
      </rPr>
      <t xml:space="preserve">, </t>
    </r>
    <r>
      <rPr>
        <sz val="12"/>
        <color rgb="FFB5CEA8"/>
        <rFont val="Menlo"/>
        <family val="2"/>
      </rPr>
      <t>1.6641E-01</t>
    </r>
    <r>
      <rPr>
        <sz val="12"/>
        <color rgb="FFCCCCCC"/>
        <rFont val="Menlo"/>
        <family val="2"/>
      </rPr>
      <t>]</t>
    </r>
  </si>
  <si>
    <r>
      <t>ADC_TOF3</t>
    </r>
    <r>
      <rPr>
        <sz val="12"/>
        <color rgb="FFCCCCCC"/>
        <rFont val="Menlo"/>
        <family val="2"/>
      </rPr>
      <t xml:space="preserve">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[</t>
    </r>
    <r>
      <rPr>
        <sz val="12"/>
        <color rgb="FFB5CEA8"/>
        <rFont val="Menlo"/>
        <family val="2"/>
      </rPr>
      <t>4.6726E-01</t>
    </r>
    <r>
      <rPr>
        <sz val="12"/>
        <color rgb="FFCCCCCC"/>
        <rFont val="Menlo"/>
        <family val="2"/>
      </rPr>
      <t xml:space="preserve">, </t>
    </r>
    <r>
      <rPr>
        <sz val="12"/>
        <color rgb="FFB5CEA8"/>
        <rFont val="Menlo"/>
        <family val="2"/>
      </rPr>
      <t>1.7144E-01</t>
    </r>
    <r>
      <rPr>
        <sz val="12"/>
        <color rgb="FFCCCCCC"/>
        <rFont val="Menlo"/>
        <family val="2"/>
      </rPr>
      <t>]</t>
    </r>
  </si>
  <si>
    <t>ILO_P_SCI_DE_LEFT_BOUNDRY</t>
  </si>
  <si>
    <r>
      <t>static</t>
    </r>
    <r>
      <rPr>
        <sz val="12"/>
        <color rgb="FFCCCCCC"/>
        <rFont val="Menlo"/>
        <family val="2"/>
      </rPr>
      <t xml:space="preserve"> </t>
    </r>
    <r>
      <rPr>
        <sz val="12"/>
        <color rgb="FF569CD6"/>
        <rFont val="Menlo"/>
        <family val="2"/>
      </rPr>
      <t>int</t>
    </r>
    <r>
      <rPr>
        <sz val="12"/>
        <color rgb="FFCCCCCC"/>
        <rFont val="Menlo"/>
        <family val="2"/>
      </rPr>
      <t xml:space="preserve"> </t>
    </r>
    <r>
      <rPr>
        <sz val="12"/>
        <color rgb="FFDCDCAA"/>
        <rFont val="Menlo"/>
        <family val="2"/>
      </rPr>
      <t>sci_calc_chksum</t>
    </r>
    <r>
      <rPr>
        <sz val="12"/>
        <color rgb="FFCCCCCC"/>
        <rFont val="Menlo"/>
        <family val="2"/>
      </rPr>
      <t>(</t>
    </r>
    <r>
      <rPr>
        <sz val="12"/>
        <color rgb="FF4EC9B0"/>
        <rFont val="Menlo"/>
        <family val="2"/>
      </rPr>
      <t>direct_event_t</t>
    </r>
    <r>
      <rPr>
        <sz val="12"/>
        <color rgb="FFCCCCCC"/>
        <rFont val="Menlo"/>
        <family val="2"/>
      </rPr>
      <t xml:space="preserve"> </t>
    </r>
    <r>
      <rPr>
        <sz val="12"/>
        <color rgb="FF9CDCFE"/>
        <rFont val="Menlo"/>
        <family val="2"/>
      </rPr>
      <t>event</t>
    </r>
    <r>
      <rPr>
        <sz val="12"/>
        <color rgb="FFCCCCCC"/>
        <rFont val="Menlo"/>
        <family val="2"/>
      </rPr>
      <t>)</t>
    </r>
  </si>
  <si>
    <t>{</t>
  </si>
  <si>
    <t>//This is after right shift by 1 of original data numbers</t>
  </si>
  <si>
    <r>
      <t>int</t>
    </r>
    <r>
      <rPr>
        <sz val="12"/>
        <color rgb="FFCCCCCC"/>
        <rFont val="Menlo"/>
        <family val="2"/>
      </rPr>
      <t xml:space="preserve"> chksum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(</t>
    </r>
    <r>
      <rPr>
        <sz val="12"/>
        <color rgb="FF9CDCFE"/>
        <rFont val="Menlo"/>
        <family val="2"/>
      </rPr>
      <t>event</t>
    </r>
    <r>
      <rPr>
        <sz val="12"/>
        <color rgb="FFCCCCCC"/>
        <rFont val="Menlo"/>
        <family val="2"/>
      </rPr>
      <t>.</t>
    </r>
    <r>
      <rPr>
        <sz val="12"/>
        <color rgb="FF9CDCFE"/>
        <rFont val="Menlo"/>
        <family val="2"/>
      </rPr>
      <t>tof0</t>
    </r>
    <r>
      <rPr>
        <sz val="12"/>
        <color rgb="FFCCCCCC"/>
        <rFont val="Menlo"/>
        <family val="2"/>
      </rPr>
      <t xml:space="preserve"> </t>
    </r>
    <r>
      <rPr>
        <sz val="12"/>
        <color rgb="FFD4D4D4"/>
        <rFont val="Menlo"/>
        <family val="2"/>
      </rPr>
      <t>+</t>
    </r>
    <r>
      <rPr>
        <sz val="12"/>
        <color rgb="FFCCCCCC"/>
        <rFont val="Menlo"/>
        <family val="2"/>
      </rPr>
      <t xml:space="preserve"> </t>
    </r>
    <r>
      <rPr>
        <sz val="12"/>
        <color rgb="FF9CDCFE"/>
        <rFont val="Menlo"/>
        <family val="2"/>
      </rPr>
      <t>event</t>
    </r>
    <r>
      <rPr>
        <sz val="12"/>
        <color rgb="FFCCCCCC"/>
        <rFont val="Menlo"/>
        <family val="2"/>
      </rPr>
      <t>.</t>
    </r>
    <r>
      <rPr>
        <sz val="12"/>
        <color rgb="FF9CDCFE"/>
        <rFont val="Menlo"/>
        <family val="2"/>
      </rPr>
      <t>tof3</t>
    </r>
    <r>
      <rPr>
        <sz val="12"/>
        <color rgb="FFCCCCCC"/>
        <rFont val="Menlo"/>
        <family val="2"/>
      </rPr>
      <t xml:space="preserve">) </t>
    </r>
    <r>
      <rPr>
        <sz val="12"/>
        <color rgb="FFD4D4D4"/>
        <rFont val="Menlo"/>
        <family val="2"/>
      </rPr>
      <t>-</t>
    </r>
    <r>
      <rPr>
        <sz val="12"/>
        <color rgb="FFCCCCCC"/>
        <rFont val="Menlo"/>
        <family val="2"/>
      </rPr>
      <t xml:space="preserve"> (</t>
    </r>
    <r>
      <rPr>
        <sz val="12"/>
        <color rgb="FF9CDCFE"/>
        <rFont val="Menlo"/>
        <family val="2"/>
      </rPr>
      <t>event</t>
    </r>
    <r>
      <rPr>
        <sz val="12"/>
        <color rgb="FFCCCCCC"/>
        <rFont val="Menlo"/>
        <family val="2"/>
      </rPr>
      <t>.</t>
    </r>
    <r>
      <rPr>
        <sz val="12"/>
        <color rgb="FF9CDCFE"/>
        <rFont val="Menlo"/>
        <family val="2"/>
      </rPr>
      <t>tof1</t>
    </r>
    <r>
      <rPr>
        <sz val="12"/>
        <color rgb="FFCCCCCC"/>
        <rFont val="Menlo"/>
        <family val="2"/>
      </rPr>
      <t xml:space="preserve"> </t>
    </r>
    <r>
      <rPr>
        <sz val="12"/>
        <color rgb="FFD4D4D4"/>
        <rFont val="Menlo"/>
        <family val="2"/>
      </rPr>
      <t>+</t>
    </r>
    <r>
      <rPr>
        <sz val="12"/>
        <color rgb="FFCCCCCC"/>
        <rFont val="Menlo"/>
        <family val="2"/>
      </rPr>
      <t xml:space="preserve"> </t>
    </r>
    <r>
      <rPr>
        <sz val="12"/>
        <color rgb="FF9CDCFE"/>
        <rFont val="Menlo"/>
        <family val="2"/>
      </rPr>
      <t>event</t>
    </r>
    <r>
      <rPr>
        <sz val="12"/>
        <color rgb="FFCCCCCC"/>
        <rFont val="Menlo"/>
        <family val="2"/>
      </rPr>
      <t>.</t>
    </r>
    <r>
      <rPr>
        <sz val="12"/>
        <color rgb="FF9CDCFE"/>
        <rFont val="Menlo"/>
        <family val="2"/>
      </rPr>
      <t>tof2</t>
    </r>
    <r>
      <rPr>
        <sz val="12"/>
        <color rgb="FFCCCCCC"/>
        <rFont val="Menlo"/>
        <family val="2"/>
      </rPr>
      <t>);</t>
    </r>
  </si>
  <si>
    <r>
      <t>return</t>
    </r>
    <r>
      <rPr>
        <sz val="12"/>
        <color rgb="FFCCCCCC"/>
        <rFont val="Menlo"/>
        <family val="2"/>
      </rPr>
      <t xml:space="preserve"> chksum;</t>
    </r>
  </si>
  <si>
    <t>}</t>
  </si>
  <si>
    <r>
      <t>static</t>
    </r>
    <r>
      <rPr>
        <sz val="12"/>
        <color rgb="FFCCCCCC"/>
        <rFont val="Menlo"/>
        <family val="2"/>
      </rPr>
      <t xml:space="preserve"> </t>
    </r>
    <r>
      <rPr>
        <sz val="12"/>
        <color rgb="FF569CD6"/>
        <rFont val="Menlo"/>
        <family val="2"/>
      </rPr>
      <t>int</t>
    </r>
    <r>
      <rPr>
        <sz val="12"/>
        <color rgb="FFCCCCCC"/>
        <rFont val="Menlo"/>
        <family val="2"/>
      </rPr>
      <t xml:space="preserve"> </t>
    </r>
    <r>
      <rPr>
        <sz val="12"/>
        <color rgb="FFDCDCAA"/>
        <rFont val="Menlo"/>
        <family val="2"/>
      </rPr>
      <t>sci_check_golden</t>
    </r>
    <r>
      <rPr>
        <sz val="12"/>
        <color rgb="FFCCCCCC"/>
        <rFont val="Menlo"/>
        <family val="2"/>
      </rPr>
      <t>(</t>
    </r>
    <r>
      <rPr>
        <sz val="12"/>
        <color rgb="FF569CD6"/>
        <rFont val="Menlo"/>
        <family val="2"/>
      </rPr>
      <t>int</t>
    </r>
    <r>
      <rPr>
        <sz val="12"/>
        <color rgb="FFCCCCCC"/>
        <rFont val="Menlo"/>
        <family val="2"/>
      </rPr>
      <t xml:space="preserve"> </t>
    </r>
    <r>
      <rPr>
        <sz val="12"/>
        <color rgb="FF9CDCFE"/>
        <rFont val="Menlo"/>
        <family val="2"/>
      </rPr>
      <t>chksum</t>
    </r>
    <r>
      <rPr>
        <sz val="12"/>
        <color rgb="FFCCCCCC"/>
        <rFont val="Menlo"/>
        <family val="2"/>
      </rPr>
      <t>)</t>
    </r>
  </si>
  <si>
    <r>
      <t>int</t>
    </r>
    <r>
      <rPr>
        <sz val="12"/>
        <color rgb="FFCCCCCC"/>
        <rFont val="Menlo"/>
        <family val="2"/>
      </rPr>
      <t xml:space="preserve"> status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</t>
    </r>
    <r>
      <rPr>
        <sz val="12"/>
        <color rgb="FF569CD6"/>
        <rFont val="Menlo"/>
        <family val="2"/>
      </rPr>
      <t>false</t>
    </r>
    <r>
      <rPr>
        <sz val="12"/>
        <color rgb="FFCCCCCC"/>
        <rFont val="Menlo"/>
        <family val="2"/>
      </rPr>
      <t>;</t>
    </r>
  </si>
  <si>
    <r>
      <t>if</t>
    </r>
    <r>
      <rPr>
        <sz val="12"/>
        <color rgb="FFCCCCCC"/>
        <rFont val="Menlo"/>
        <family val="2"/>
      </rPr>
      <t xml:space="preserve"> ((chksum </t>
    </r>
    <r>
      <rPr>
        <sz val="12"/>
        <color rgb="FFD4D4D4"/>
        <rFont val="Menlo"/>
        <family val="2"/>
      </rPr>
      <t>&gt;=</t>
    </r>
    <r>
      <rPr>
        <sz val="12"/>
        <color rgb="FFCCCCCC"/>
        <rFont val="Menlo"/>
        <family val="2"/>
      </rPr>
      <t xml:space="preserve"> </t>
    </r>
    <r>
      <rPr>
        <sz val="12"/>
        <color rgb="FF9CDCFE"/>
        <rFont val="Menlo"/>
        <family val="2"/>
      </rPr>
      <t>self</t>
    </r>
    <r>
      <rPr>
        <sz val="12"/>
        <color rgb="FFCCCCCC"/>
        <rFont val="Menlo"/>
        <family val="2"/>
      </rPr>
      <t>.</t>
    </r>
    <r>
      <rPr>
        <sz val="12"/>
        <color rgb="FF9CDCFE"/>
        <rFont val="Menlo"/>
        <family val="2"/>
      </rPr>
      <t>left_bit</t>
    </r>
    <r>
      <rPr>
        <sz val="12"/>
        <color rgb="FFCCCCCC"/>
        <rFont val="Menlo"/>
        <family val="2"/>
      </rPr>
      <t xml:space="preserve">) </t>
    </r>
    <r>
      <rPr>
        <sz val="12"/>
        <color rgb="FFD4D4D4"/>
        <rFont val="Menlo"/>
        <family val="2"/>
      </rPr>
      <t>&amp;&amp;</t>
    </r>
    <r>
      <rPr>
        <sz val="12"/>
        <color rgb="FFCCCCCC"/>
        <rFont val="Menlo"/>
        <family val="2"/>
      </rPr>
      <t xml:space="preserve"> (chksum </t>
    </r>
    <r>
      <rPr>
        <sz val="12"/>
        <color rgb="FFD4D4D4"/>
        <rFont val="Menlo"/>
        <family val="2"/>
      </rPr>
      <t>&lt;=</t>
    </r>
    <r>
      <rPr>
        <sz val="12"/>
        <color rgb="FFCCCCCC"/>
        <rFont val="Menlo"/>
        <family val="2"/>
      </rPr>
      <t xml:space="preserve"> </t>
    </r>
    <r>
      <rPr>
        <sz val="12"/>
        <color rgb="FF9CDCFE"/>
        <rFont val="Menlo"/>
        <family val="2"/>
      </rPr>
      <t>self</t>
    </r>
    <r>
      <rPr>
        <sz val="12"/>
        <color rgb="FFCCCCCC"/>
        <rFont val="Menlo"/>
        <family val="2"/>
      </rPr>
      <t>.</t>
    </r>
    <r>
      <rPr>
        <sz val="12"/>
        <color rgb="FF9CDCFE"/>
        <rFont val="Menlo"/>
        <family val="2"/>
      </rPr>
      <t>right_bit</t>
    </r>
    <r>
      <rPr>
        <sz val="12"/>
        <color rgb="FFCCCCCC"/>
        <rFont val="Menlo"/>
        <family val="2"/>
      </rPr>
      <t>))</t>
    </r>
  </si>
  <si>
    <r>
      <t xml:space="preserve">status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</t>
    </r>
    <r>
      <rPr>
        <sz val="12"/>
        <color rgb="FF569CD6"/>
        <rFont val="Menlo"/>
        <family val="2"/>
      </rPr>
      <t>true</t>
    </r>
    <r>
      <rPr>
        <sz val="12"/>
        <color rgb="FFCCCCCC"/>
        <rFont val="Menlo"/>
        <family val="2"/>
      </rPr>
      <t>;</t>
    </r>
  </si>
  <si>
    <r>
      <t>return</t>
    </r>
    <r>
      <rPr>
        <sz val="12"/>
        <color rgb="FFCCCCCC"/>
        <rFont val="Menlo"/>
        <family val="2"/>
      </rPr>
      <t xml:space="preserve"> status;</t>
    </r>
  </si>
  <si>
    <r>
      <t>static</t>
    </r>
    <r>
      <rPr>
        <sz val="12"/>
        <color rgb="FFCCCCCC"/>
        <rFont val="Menlo"/>
        <family val="2"/>
      </rPr>
      <t xml:space="preserve"> </t>
    </r>
    <r>
      <rPr>
        <sz val="12"/>
        <color rgb="FF569CD6"/>
        <rFont val="Menlo"/>
        <family val="2"/>
      </rPr>
      <t>int</t>
    </r>
    <r>
      <rPr>
        <sz val="12"/>
        <color rgb="FFCCCCCC"/>
        <rFont val="Menlo"/>
        <family val="2"/>
      </rPr>
      <t xml:space="preserve"> </t>
    </r>
    <r>
      <rPr>
        <sz val="12"/>
        <color rgb="FFDCDCAA"/>
        <rFont val="Menlo"/>
        <family val="2"/>
      </rPr>
      <t>sci_calc_golden_chksum</t>
    </r>
    <r>
      <rPr>
        <sz val="12"/>
        <color rgb="FFCCCCCC"/>
        <rFont val="Menlo"/>
        <family val="2"/>
      </rPr>
      <t>(</t>
    </r>
    <r>
      <rPr>
        <sz val="12"/>
        <color rgb="FF569CD6"/>
        <rFont val="Menlo"/>
        <family val="2"/>
      </rPr>
      <t>int</t>
    </r>
    <r>
      <rPr>
        <sz val="12"/>
        <color rgb="FFCCCCCC"/>
        <rFont val="Menlo"/>
        <family val="2"/>
      </rPr>
      <t xml:space="preserve"> </t>
    </r>
    <r>
      <rPr>
        <sz val="12"/>
        <color rgb="FF9CDCFE"/>
        <rFont val="Menlo"/>
        <family val="2"/>
      </rPr>
      <t>chksum</t>
    </r>
    <r>
      <rPr>
        <sz val="12"/>
        <color rgb="FFCCCCCC"/>
        <rFont val="Menlo"/>
        <family val="2"/>
      </rPr>
      <t>)</t>
    </r>
  </si>
  <si>
    <r>
      <t>int</t>
    </r>
    <r>
      <rPr>
        <sz val="12"/>
        <color rgb="FFCCCCCC"/>
        <rFont val="Menlo"/>
        <family val="2"/>
      </rPr>
      <t xml:space="preserve"> golden_chksum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chksum </t>
    </r>
    <r>
      <rPr>
        <sz val="12"/>
        <color rgb="FFD4D4D4"/>
        <rFont val="Menlo"/>
        <family val="2"/>
      </rPr>
      <t>-</t>
    </r>
    <r>
      <rPr>
        <sz val="12"/>
        <color rgb="FFCCCCCC"/>
        <rFont val="Menlo"/>
        <family val="2"/>
      </rPr>
      <t xml:space="preserve"> </t>
    </r>
    <r>
      <rPr>
        <sz val="12"/>
        <color rgb="FF9CDCFE"/>
        <rFont val="Menlo"/>
        <family val="2"/>
      </rPr>
      <t>self</t>
    </r>
    <r>
      <rPr>
        <sz val="12"/>
        <color rgb="FFCCCCCC"/>
        <rFont val="Menlo"/>
        <family val="2"/>
      </rPr>
      <t>.</t>
    </r>
    <r>
      <rPr>
        <sz val="12"/>
        <color rgb="FF9CDCFE"/>
        <rFont val="Menlo"/>
        <family val="2"/>
      </rPr>
      <t>left_bit</t>
    </r>
    <r>
      <rPr>
        <sz val="12"/>
        <color rgb="FFCCCCCC"/>
        <rFont val="Menlo"/>
        <family val="2"/>
      </rPr>
      <t>;</t>
    </r>
  </si>
  <si>
    <r>
      <t>if</t>
    </r>
    <r>
      <rPr>
        <sz val="12"/>
        <color rgb="FFCCCCCC"/>
        <rFont val="Menlo"/>
        <family val="2"/>
      </rPr>
      <t xml:space="preserve"> (golden_chksum </t>
    </r>
    <r>
      <rPr>
        <sz val="12"/>
        <color rgb="FFD4D4D4"/>
        <rFont val="Menlo"/>
        <family val="2"/>
      </rPr>
      <t>&lt;</t>
    </r>
    <r>
      <rPr>
        <sz val="12"/>
        <color rgb="FFCCCCCC"/>
        <rFont val="Menlo"/>
        <family val="2"/>
      </rPr>
      <t xml:space="preserve"> </t>
    </r>
    <r>
      <rPr>
        <sz val="12"/>
        <color rgb="FFB5CEA8"/>
        <rFont val="Menlo"/>
        <family val="2"/>
      </rPr>
      <t>0</t>
    </r>
    <r>
      <rPr>
        <sz val="12"/>
        <color rgb="FFCCCCCC"/>
        <rFont val="Menlo"/>
        <family val="2"/>
      </rPr>
      <t>)</t>
    </r>
  </si>
  <si>
    <r>
      <t xml:space="preserve">golden_chksum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golden_chksum </t>
    </r>
    <r>
      <rPr>
        <sz val="12"/>
        <color rgb="FFD4D4D4"/>
        <rFont val="Menlo"/>
        <family val="2"/>
      </rPr>
      <t>*</t>
    </r>
    <r>
      <rPr>
        <sz val="12"/>
        <color rgb="FFCCCCCC"/>
        <rFont val="Menlo"/>
        <family val="2"/>
      </rPr>
      <t xml:space="preserve"> </t>
    </r>
    <r>
      <rPr>
        <sz val="12"/>
        <color rgb="FFD4D4D4"/>
        <rFont val="Menlo"/>
        <family val="2"/>
      </rPr>
      <t>-</t>
    </r>
    <r>
      <rPr>
        <sz val="12"/>
        <color rgb="FFB5CEA8"/>
        <rFont val="Menlo"/>
        <family val="2"/>
      </rPr>
      <t>1</t>
    </r>
    <r>
      <rPr>
        <sz val="12"/>
        <color rgb="FFCCCCCC"/>
        <rFont val="Menlo"/>
        <family val="2"/>
      </rPr>
      <t xml:space="preserve">; </t>
    </r>
  </si>
  <si>
    <r>
      <t>return</t>
    </r>
    <r>
      <rPr>
        <sz val="12"/>
        <color rgb="FFCCCCCC"/>
        <rFont val="Menlo"/>
        <family val="2"/>
      </rPr>
      <t xml:space="preserve"> golden_chksum;</t>
    </r>
  </si>
  <si>
    <r>
      <t>self</t>
    </r>
    <r>
      <rPr>
        <sz val="12"/>
        <color rgb="FFCCCCCC"/>
        <rFont val="Menlo"/>
        <family val="2"/>
      </rPr>
      <t>.</t>
    </r>
    <r>
      <rPr>
        <sz val="12"/>
        <color rgb="FF9CDCFE"/>
        <rFont val="Menlo"/>
        <family val="2"/>
      </rPr>
      <t>left_bit</t>
    </r>
    <r>
      <rPr>
        <sz val="12"/>
        <color rgb="FFCCCCCC"/>
        <rFont val="Menlo"/>
        <family val="2"/>
      </rPr>
      <t xml:space="preserve">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</t>
    </r>
    <r>
      <rPr>
        <sz val="12"/>
        <color rgb="FFDCDCAA"/>
        <rFont val="Menlo"/>
        <family val="2"/>
      </rPr>
      <t>param_get</t>
    </r>
    <r>
      <rPr>
        <sz val="12"/>
        <color rgb="FFCCCCCC"/>
        <rFont val="Menlo"/>
        <family val="2"/>
      </rPr>
      <t>(pSCI_DE_LEFT_BOUNDRY);</t>
    </r>
  </si>
  <si>
    <t>//needs to be negative</t>
  </si>
  <si>
    <r>
      <t>self</t>
    </r>
    <r>
      <rPr>
        <sz val="12"/>
        <color rgb="FFCCCCCC"/>
        <rFont val="Menlo"/>
        <family val="2"/>
      </rPr>
      <t>.</t>
    </r>
    <r>
      <rPr>
        <sz val="12"/>
        <color rgb="FF9CDCFE"/>
        <rFont val="Menlo"/>
        <family val="2"/>
      </rPr>
      <t>left_bit</t>
    </r>
    <r>
      <rPr>
        <sz val="12"/>
        <color rgb="FFCCCCCC"/>
        <rFont val="Menlo"/>
        <family val="2"/>
      </rPr>
      <t xml:space="preserve">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</t>
    </r>
    <r>
      <rPr>
        <sz val="12"/>
        <color rgb="FF9CDCFE"/>
        <rFont val="Menlo"/>
        <family val="2"/>
      </rPr>
      <t>self</t>
    </r>
    <r>
      <rPr>
        <sz val="12"/>
        <color rgb="FFCCCCCC"/>
        <rFont val="Menlo"/>
        <family val="2"/>
      </rPr>
      <t>.</t>
    </r>
    <r>
      <rPr>
        <sz val="12"/>
        <color rgb="FF9CDCFE"/>
        <rFont val="Menlo"/>
        <family val="2"/>
      </rPr>
      <t>left_bit</t>
    </r>
    <r>
      <rPr>
        <sz val="12"/>
        <color rgb="FFCCCCCC"/>
        <rFont val="Menlo"/>
        <family val="2"/>
      </rPr>
      <t xml:space="preserve"> </t>
    </r>
    <r>
      <rPr>
        <sz val="12"/>
        <color rgb="FFD4D4D4"/>
        <rFont val="Menlo"/>
        <family val="2"/>
      </rPr>
      <t>*</t>
    </r>
    <r>
      <rPr>
        <sz val="12"/>
        <color rgb="FFCCCCCC"/>
        <rFont val="Menlo"/>
        <family val="2"/>
      </rPr>
      <t xml:space="preserve"> </t>
    </r>
    <r>
      <rPr>
        <sz val="12"/>
        <color rgb="FFD4D4D4"/>
        <rFont val="Menlo"/>
        <family val="2"/>
      </rPr>
      <t>-</t>
    </r>
    <r>
      <rPr>
        <sz val="12"/>
        <color rgb="FFB5CEA8"/>
        <rFont val="Menlo"/>
        <family val="2"/>
      </rPr>
      <t>1</t>
    </r>
    <r>
      <rPr>
        <sz val="12"/>
        <color rgb="FFCCCCCC"/>
        <rFont val="Menlo"/>
        <family val="2"/>
      </rPr>
      <t>;</t>
    </r>
  </si>
  <si>
    <r>
      <t>self</t>
    </r>
    <r>
      <rPr>
        <sz val="12"/>
        <color rgb="FFCCCCCC"/>
        <rFont val="Menlo"/>
        <family val="2"/>
      </rPr>
      <t>.</t>
    </r>
    <r>
      <rPr>
        <sz val="12"/>
        <color rgb="FF9CDCFE"/>
        <rFont val="Menlo"/>
        <family val="2"/>
      </rPr>
      <t>right_bit</t>
    </r>
    <r>
      <rPr>
        <sz val="12"/>
        <color rgb="FFCCCCCC"/>
        <rFont val="Menlo"/>
        <family val="2"/>
      </rPr>
      <t xml:space="preserve"> </t>
    </r>
    <r>
      <rPr>
        <sz val="12"/>
        <color rgb="FFD4D4D4"/>
        <rFont val="Menlo"/>
        <family val="2"/>
      </rPr>
      <t>=</t>
    </r>
    <r>
      <rPr>
        <sz val="12"/>
        <color rgb="FFCCCCCC"/>
        <rFont val="Menlo"/>
        <family val="2"/>
      </rPr>
      <t xml:space="preserve"> </t>
    </r>
    <r>
      <rPr>
        <sz val="12"/>
        <color rgb="FF9CDCFE"/>
        <rFont val="Menlo"/>
        <family val="2"/>
      </rPr>
      <t>self</t>
    </r>
    <r>
      <rPr>
        <sz val="12"/>
        <color rgb="FFCCCCCC"/>
        <rFont val="Menlo"/>
        <family val="2"/>
      </rPr>
      <t>.</t>
    </r>
    <r>
      <rPr>
        <sz val="12"/>
        <color rgb="FF9CDCFE"/>
        <rFont val="Menlo"/>
        <family val="2"/>
      </rPr>
      <t>left_bit</t>
    </r>
    <r>
      <rPr>
        <sz val="12"/>
        <color rgb="FFCCCCCC"/>
        <rFont val="Menlo"/>
        <family val="2"/>
      </rPr>
      <t xml:space="preserve"> </t>
    </r>
    <r>
      <rPr>
        <sz val="12"/>
        <color rgb="FFD4D4D4"/>
        <rFont val="Menlo"/>
        <family val="2"/>
      </rPr>
      <t>+</t>
    </r>
    <r>
      <rPr>
        <sz val="12"/>
        <color rgb="FFCCCCCC"/>
        <rFont val="Menlo"/>
        <family val="2"/>
      </rPr>
      <t xml:space="preserve"> </t>
    </r>
    <r>
      <rPr>
        <sz val="12"/>
        <color rgb="FFB5CEA8"/>
        <rFont val="Menlo"/>
        <family val="2"/>
      </rPr>
      <t>15</t>
    </r>
    <r>
      <rPr>
        <sz val="12"/>
        <color rgb="FFCCCCCC"/>
        <rFont val="Menlo"/>
        <family val="2"/>
      </rPr>
      <t>;</t>
    </r>
  </si>
  <si>
    <t xml:space="preserve">SO the proper correction is as follows: </t>
  </si>
  <si>
    <t>tof1 = tof0 + tof3 -tof2 - checksum + 2 x LEFT_SCI_BOUNDARY</t>
  </si>
  <si>
    <t>SCI_DE_LEFT_BOUNDRY</t>
  </si>
  <si>
    <t>based on LUT Table</t>
  </si>
  <si>
    <t>LEFT SHIFTED VALUES</t>
  </si>
  <si>
    <t>AFTER LEFT SHIFTING</t>
  </si>
  <si>
    <t>TOF1d equals TOF0 + TOF3 - TOF2 - CHECKSUM + (LEFT_SCI_BOUNDARY x 2 )</t>
  </si>
  <si>
    <t>This is applied at level 1a AFTER LEFTSHIFT of telemetry</t>
  </si>
  <si>
    <t>The boundary is set to 20 in the LUT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</si>
</sst>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0E+00"/>
  </numFmts>
  <fonts count="15" x14ac:knownFonts="1">
    <font>
      <sz val="12"/>
      <color theme="1"/>
      <name val="Aptos Narrow"/>
      <family val="2"/>
      <scheme val="minor"/>
    </font>
    <font>
      <sz val="12"/>
      <color rgb="FFCCCCCC"/>
      <name val="Menlo"/>
      <family val="2"/>
    </font>
    <font>
      <sz val="12"/>
      <color rgb="FF4FC1FF"/>
      <name val="Menlo"/>
      <family val="2"/>
    </font>
    <font>
      <sz val="12"/>
      <color rgb="FFD4D4D4"/>
      <name val="Menlo"/>
      <family val="2"/>
    </font>
    <font>
      <sz val="12"/>
      <color rgb="FFB5CEA8"/>
      <name val="Menlo"/>
      <family val="2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1"/>
      <name val="Aptos Narrow"/>
      <family val="2"/>
      <scheme val="minor"/>
    </font>
    <font>
      <sz val="12"/>
      <color rgb="FF569CD6"/>
      <name val="Menlo"/>
      <family val="2"/>
    </font>
    <font>
      <sz val="12"/>
      <color rgb="FFDCDCAA"/>
      <name val="Menlo"/>
      <family val="2"/>
    </font>
    <font>
      <sz val="12"/>
      <color rgb="FF4EC9B0"/>
      <name val="Menlo"/>
      <family val="2"/>
    </font>
    <font>
      <sz val="12"/>
      <color rgb="FF9CDCFE"/>
      <name val="Menlo"/>
      <family val="2"/>
    </font>
    <font>
      <sz val="12"/>
      <color rgb="FF6A9955"/>
      <name val="Menlo"/>
      <family val="2"/>
    </font>
    <font>
      <sz val="12"/>
      <color rgb="FFC586C0"/>
      <name val="Menlo"/>
      <family val="2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2" fillId="0" borderId="0" xfId="0" applyFont="1"/>
    <xf numFmtId="11" fontId="0" fillId="0" borderId="0" xfId="0" applyNumberFormat="1"/>
    <xf numFmtId="0" fontId="6" fillId="0" borderId="0" xfId="0" applyFont="1"/>
    <xf numFmtId="0" fontId="5" fillId="0" borderId="0" xfId="0" applyFont="1"/>
    <xf numFmtId="169" fontId="0" fillId="2" borderId="0" xfId="0" applyNumberFormat="1" applyFill="1"/>
    <xf numFmtId="169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/>
    <xf numFmtId="0" fontId="12" fillId="0" borderId="0" xfId="0" applyFont="1"/>
    <xf numFmtId="0" fontId="13" fillId="0" borderId="0" xfId="0" applyFont="1"/>
    <xf numFmtId="0" fontId="11" fillId="0" borderId="0" xfId="0" applyFont="1"/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2EC11-E6BD-4E4A-B3F4-25FB18BA09C7}">
  <dimension ref="A1:Z7"/>
  <sheetViews>
    <sheetView topLeftCell="N1" workbookViewId="0">
      <selection activeCell="U5" sqref="U5"/>
    </sheetView>
  </sheetViews>
  <sheetFormatPr baseColWidth="10" defaultRowHeight="16" x14ac:dyDescent="0.2"/>
  <cols>
    <col min="20" max="20" width="17" customWidth="1"/>
    <col min="21" max="21" width="14" customWidth="1"/>
    <col min="22" max="22" width="13.5" customWidth="1"/>
    <col min="23" max="23" width="16.1640625" customWidth="1"/>
    <col min="25" max="25" width="12.83203125" customWidth="1"/>
    <col min="26" max="26" width="14.83203125" customWidth="1"/>
  </cols>
  <sheetData>
    <row r="1" spans="1:26" x14ac:dyDescent="0.2">
      <c r="R1" t="s">
        <v>53</v>
      </c>
    </row>
    <row r="2" spans="1:26" x14ac:dyDescent="0.2">
      <c r="M2" t="s">
        <v>52</v>
      </c>
      <c r="R2" t="s">
        <v>54</v>
      </c>
    </row>
    <row r="3" spans="1:26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15</v>
      </c>
      <c r="R3" t="s">
        <v>16</v>
      </c>
      <c r="T3" t="s">
        <v>17</v>
      </c>
      <c r="U3" t="s">
        <v>18</v>
      </c>
      <c r="V3" t="s">
        <v>19</v>
      </c>
      <c r="W3" t="s">
        <v>20</v>
      </c>
      <c r="Y3" t="s">
        <v>21</v>
      </c>
      <c r="Z3" t="s">
        <v>22</v>
      </c>
    </row>
    <row r="4" spans="1:26" x14ac:dyDescent="0.2">
      <c r="A4" s="1">
        <v>507643529</v>
      </c>
      <c r="B4" s="1">
        <v>0</v>
      </c>
      <c r="C4" s="1">
        <v>1601</v>
      </c>
      <c r="D4" s="1">
        <v>6</v>
      </c>
      <c r="E4" s="1">
        <v>1</v>
      </c>
      <c r="F4" s="1">
        <v>634</v>
      </c>
      <c r="G4" s="1">
        <v>0</v>
      </c>
      <c r="H4" s="1">
        <v>198</v>
      </c>
      <c r="I4" s="1">
        <v>1</v>
      </c>
      <c r="J4" s="1">
        <v>6</v>
      </c>
      <c r="K4" s="1">
        <v>0</v>
      </c>
      <c r="L4" s="1"/>
      <c r="M4" s="1">
        <v>1268</v>
      </c>
      <c r="N4" s="1">
        <v>0</v>
      </c>
      <c r="O4" s="1">
        <v>396</v>
      </c>
      <c r="P4" s="1">
        <v>2</v>
      </c>
      <c r="Q4" s="1">
        <v>12</v>
      </c>
      <c r="R4" s="1"/>
      <c r="S4" s="1"/>
      <c r="T4" s="6"/>
      <c r="U4" s="6"/>
      <c r="V4" s="6"/>
      <c r="W4" s="6"/>
      <c r="X4" s="6"/>
      <c r="Y4" s="6"/>
      <c r="Z4" s="6"/>
    </row>
    <row r="5" spans="1:26" x14ac:dyDescent="0.2">
      <c r="M5">
        <f>F4*2</f>
        <v>1268</v>
      </c>
      <c r="N5">
        <f>G4*2</f>
        <v>0</v>
      </c>
      <c r="O5">
        <f>H4*2</f>
        <v>396</v>
      </c>
      <c r="P5">
        <f>I4*2</f>
        <v>2</v>
      </c>
      <c r="Q5">
        <f>2*J4</f>
        <v>12</v>
      </c>
      <c r="R5">
        <f>M5+P5-O5-Q5+ (2* 'ADC values'!C49)</f>
        <v>902</v>
      </c>
      <c r="T5" s="7">
        <f>M5*'ADC values'!G1+'ADC values'!F1</f>
        <v>214.04567999999998</v>
      </c>
      <c r="U5" s="7">
        <f>R5*'ADC values'!G2+'ADC values'!F2</f>
        <v>148.21805999999998</v>
      </c>
      <c r="V5" s="7">
        <f>'TOF example'!O5*'ADC values'!G3+'ADC values'!F3</f>
        <v>66.272779999999997</v>
      </c>
      <c r="W5" s="7">
        <f>P5*'ADC values'!G4+'ADC values'!F4</f>
        <v>0.81014000000000008</v>
      </c>
      <c r="X5" s="7"/>
      <c r="Y5" s="7">
        <f>U5-0.5*W5</f>
        <v>147.81298999999999</v>
      </c>
      <c r="Z5" s="7">
        <f>T5+0.5*W5</f>
        <v>214.45074999999997</v>
      </c>
    </row>
    <row r="6" spans="1:26" x14ac:dyDescent="0.2">
      <c r="I6" s="5"/>
      <c r="J6" s="5"/>
      <c r="K6" s="5"/>
      <c r="L6" s="5"/>
      <c r="M6" s="5"/>
      <c r="N6" s="5"/>
      <c r="O6" s="5"/>
      <c r="P6" s="5"/>
    </row>
    <row r="7" spans="1:26" x14ac:dyDescent="0.2">
      <c r="H7" s="4"/>
      <c r="I7" s="5"/>
      <c r="J7" s="5"/>
      <c r="K7" s="5"/>
      <c r="L7" s="5"/>
      <c r="M7" s="5"/>
      <c r="N7" s="5"/>
      <c r="O7" s="5"/>
      <c r="P7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33E9C-709C-AF4B-912A-95EA6894E299}">
  <dimension ref="A1:G56"/>
  <sheetViews>
    <sheetView tabSelected="1" topLeftCell="A39" workbookViewId="0">
      <selection activeCell="D68" sqref="D68"/>
    </sheetView>
  </sheetViews>
  <sheetFormatPr baseColWidth="10" defaultRowHeight="16" x14ac:dyDescent="0.2"/>
  <sheetData>
    <row r="1" spans="1:7" x14ac:dyDescent="0.2">
      <c r="A1" s="2" t="s">
        <v>23</v>
      </c>
      <c r="F1" s="3">
        <v>0.55252000000000001</v>
      </c>
      <c r="G1" s="3">
        <v>0.16836999999999999</v>
      </c>
    </row>
    <row r="2" spans="1:7" x14ac:dyDescent="0.2">
      <c r="A2" s="2" t="s">
        <v>24</v>
      </c>
      <c r="F2" s="3">
        <v>-0.72018000000000004</v>
      </c>
      <c r="G2" s="3">
        <f>1.6512/10</f>
        <v>0.16511999999999999</v>
      </c>
    </row>
    <row r="3" spans="1:7" x14ac:dyDescent="0.2">
      <c r="A3" s="2" t="s">
        <v>25</v>
      </c>
      <c r="F3" s="3">
        <v>0.37441999999999998</v>
      </c>
      <c r="G3" s="3">
        <v>0.16641</v>
      </c>
    </row>
    <row r="4" spans="1:7" x14ac:dyDescent="0.2">
      <c r="A4" s="2" t="s">
        <v>26</v>
      </c>
      <c r="F4" s="3">
        <v>0.46726000000000001</v>
      </c>
      <c r="G4" s="3">
        <v>0.17144000000000001</v>
      </c>
    </row>
    <row r="6" spans="1:7" x14ac:dyDescent="0.2">
      <c r="A6" s="8" t="s">
        <v>27</v>
      </c>
      <c r="F6" s="3">
        <v>20</v>
      </c>
    </row>
    <row r="9" spans="1:7" x14ac:dyDescent="0.2">
      <c r="A9" s="13" t="s">
        <v>44</v>
      </c>
    </row>
    <row r="10" spans="1:7" x14ac:dyDescent="0.2">
      <c r="A10" s="11" t="s">
        <v>45</v>
      </c>
    </row>
    <row r="11" spans="1:7" x14ac:dyDescent="0.2">
      <c r="A11" s="13" t="s">
        <v>46</v>
      </c>
    </row>
    <row r="12" spans="1:7" x14ac:dyDescent="0.2">
      <c r="A12" s="13" t="s">
        <v>47</v>
      </c>
    </row>
    <row r="18" spans="1:1" x14ac:dyDescent="0.2">
      <c r="A18" s="9" t="s">
        <v>28</v>
      </c>
    </row>
    <row r="19" spans="1:1" x14ac:dyDescent="0.2">
      <c r="A19" s="10" t="s">
        <v>29</v>
      </c>
    </row>
    <row r="20" spans="1:1" x14ac:dyDescent="0.2">
      <c r="A20" s="11" t="s">
        <v>30</v>
      </c>
    </row>
    <row r="21" spans="1:1" x14ac:dyDescent="0.2">
      <c r="A21" s="9" t="s">
        <v>31</v>
      </c>
    </row>
    <row r="23" spans="1:1" x14ac:dyDescent="0.2">
      <c r="A23" s="12" t="s">
        <v>32</v>
      </c>
    </row>
    <row r="24" spans="1:1" x14ac:dyDescent="0.2">
      <c r="A24" s="10" t="s">
        <v>33</v>
      </c>
    </row>
    <row r="26" spans="1:1" x14ac:dyDescent="0.2">
      <c r="A26" s="9" t="s">
        <v>34</v>
      </c>
    </row>
    <row r="27" spans="1:1" x14ac:dyDescent="0.2">
      <c r="A27" s="10" t="s">
        <v>29</v>
      </c>
    </row>
    <row r="28" spans="1:1" x14ac:dyDescent="0.2">
      <c r="A28" s="9" t="s">
        <v>35</v>
      </c>
    </row>
    <row r="30" spans="1:1" x14ac:dyDescent="0.2">
      <c r="A30" s="12" t="s">
        <v>36</v>
      </c>
    </row>
    <row r="31" spans="1:1" x14ac:dyDescent="0.2">
      <c r="A31" s="10" t="s">
        <v>29</v>
      </c>
    </row>
    <row r="32" spans="1:1" x14ac:dyDescent="0.2">
      <c r="A32" s="10" t="s">
        <v>37</v>
      </c>
    </row>
    <row r="33" spans="1:1" x14ac:dyDescent="0.2">
      <c r="A33" s="10" t="s">
        <v>33</v>
      </c>
    </row>
    <row r="35" spans="1:1" x14ac:dyDescent="0.2">
      <c r="A35" s="12" t="s">
        <v>38</v>
      </c>
    </row>
    <row r="36" spans="1:1" x14ac:dyDescent="0.2">
      <c r="A36" s="10" t="s">
        <v>33</v>
      </c>
    </row>
    <row r="38" spans="1:1" x14ac:dyDescent="0.2">
      <c r="A38" s="9" t="s">
        <v>39</v>
      </c>
    </row>
    <row r="39" spans="1:1" x14ac:dyDescent="0.2">
      <c r="A39" s="10" t="s">
        <v>29</v>
      </c>
    </row>
    <row r="40" spans="1:1" x14ac:dyDescent="0.2">
      <c r="A40" s="9" t="s">
        <v>40</v>
      </c>
    </row>
    <row r="41" spans="1:1" x14ac:dyDescent="0.2">
      <c r="A41" s="12" t="s">
        <v>41</v>
      </c>
    </row>
    <row r="42" spans="1:1" x14ac:dyDescent="0.2">
      <c r="A42" s="10" t="s">
        <v>29</v>
      </c>
    </row>
    <row r="43" spans="1:1" x14ac:dyDescent="0.2">
      <c r="A43" s="10" t="s">
        <v>42</v>
      </c>
    </row>
    <row r="44" spans="1:1" x14ac:dyDescent="0.2">
      <c r="A44" s="10" t="s">
        <v>33</v>
      </c>
    </row>
    <row r="45" spans="1:1" x14ac:dyDescent="0.2">
      <c r="A45" s="12" t="s">
        <v>43</v>
      </c>
    </row>
    <row r="46" spans="1:1" x14ac:dyDescent="0.2">
      <c r="A46" s="10" t="s">
        <v>33</v>
      </c>
    </row>
    <row r="49" spans="1:4" x14ac:dyDescent="0.2">
      <c r="A49" t="s">
        <v>50</v>
      </c>
      <c r="C49">
        <v>20</v>
      </c>
      <c r="D49" t="s">
        <v>51</v>
      </c>
    </row>
    <row r="50" spans="1:4" x14ac:dyDescent="0.2">
      <c r="A50" t="s">
        <v>56</v>
      </c>
    </row>
    <row r="52" spans="1:4" x14ac:dyDescent="0.2">
      <c r="A52" t="s">
        <v>48</v>
      </c>
    </row>
    <row r="54" spans="1:4" x14ac:dyDescent="0.2">
      <c r="A54" s="14" t="s">
        <v>49</v>
      </c>
    </row>
    <row r="56" spans="1:4" x14ac:dyDescent="0.2">
      <c r="A56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TOF example</vt:lpstr>
      <vt:lpstr>ADC 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Schwadron</dc:creator>
  <cp:lastModifiedBy>Nathan Schwadron</cp:lastModifiedBy>
  <dcterms:created xsi:type="dcterms:W3CDTF">2026-03-23T19:38:16Z</dcterms:created>
  <dcterms:modified xsi:type="dcterms:W3CDTF">2026-03-24T12:53:28Z</dcterms:modified>
</cp:coreProperties>
</file>
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3"/>
  <workbookPr date1904="1" dateCompatibility="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oc/memos/geo_factors_20260606/"/>
    </mc:Choice>
  </mc:AlternateContent>
  <xr:revisionPtr revIDLastSave="0" documentId="13_ncr:9_{6C1C494B-0287-FC49-B756-F56D70A90026}" xr6:coauthVersionLast="47" xr6:coauthVersionMax="47" xr10:uidLastSave="{00000000-0000-0000-0000-000000000000}"/>
  <bookViews>
    <workbookView xWindow="22780" yWindow="2520" windowWidth="36000" windowHeight="21440" firstSheet="2" activeTab="5" xr2:uid="{2CB6C301-E84B-44D0-835F-EA116C93E4A8}"/>
  </bookViews>
  <sheets>
    <sheet name="Version history" sheetId="7" r:id="rId1"/>
    <sheet name="GridsAndSpokes" sheetId="2" r:id="rId2"/>
    <sheet name="H GF" sheetId="3" r:id="rId3"/>
    <sheet name="O_KE_Response_vals" sheetId="8" r:id="rId4"/>
    <sheet name="H_KE_Response_vals" sheetId="1" r:id="rId5"/>
    <sheet name="O GF" sheetId="9" r:id="rId6"/>
    <sheet name="O Error" sheetId="15" r:id="rId7"/>
    <sheet name="IBEX GF Compare" sheetId="5" r:id="rId8"/>
    <sheet name="Ne GF" sheetId="13" r:id="rId9"/>
    <sheet name="He GF" sheetId="11" r:id="rId10"/>
    <sheet name="Sputtered Ibex-Comp" sheetId="14" r:id="rId1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25" i="9" l="1"/>
  <c r="F8" i="3"/>
  <c r="I34" i="8"/>
  <c r="H34" i="8"/>
  <c r="G34" i="8"/>
  <c r="I33" i="8"/>
  <c r="H33" i="8"/>
  <c r="G33" i="8"/>
  <c r="I32" i="8"/>
  <c r="H32" i="8"/>
  <c r="G32" i="8"/>
  <c r="I31" i="8"/>
  <c r="H31" i="8"/>
  <c r="G31" i="8"/>
  <c r="I30" i="8"/>
  <c r="H30" i="8"/>
  <c r="G30" i="8"/>
  <c r="I29" i="8"/>
  <c r="H29" i="8"/>
  <c r="G29" i="8"/>
  <c r="I28" i="8"/>
  <c r="H28" i="8"/>
  <c r="G28" i="8"/>
  <c r="I27" i="8"/>
  <c r="H27" i="8"/>
  <c r="G27" i="8"/>
  <c r="I26" i="8"/>
  <c r="H26" i="8"/>
  <c r="G26" i="8"/>
  <c r="I25" i="8"/>
  <c r="H25" i="8"/>
  <c r="G25" i="8"/>
  <c r="I24" i="8"/>
  <c r="H24" i="8"/>
  <c r="G24" i="8"/>
  <c r="I23" i="8"/>
  <c r="H23" i="8"/>
  <c r="G23" i="8"/>
  <c r="I22" i="8"/>
  <c r="H22" i="8"/>
  <c r="G22" i="8"/>
  <c r="I21" i="8"/>
  <c r="H21" i="8"/>
  <c r="G21" i="8"/>
  <c r="K12" i="15"/>
  <c r="K13" i="15"/>
  <c r="K14" i="15"/>
  <c r="K5" i="15"/>
  <c r="K6" i="15"/>
  <c r="J28" i="8"/>
  <c r="J32" i="8"/>
  <c r="J23" i="8"/>
  <c r="J26" i="8"/>
  <c r="J34" i="8"/>
  <c r="J24" i="8"/>
  <c r="J22" i="8"/>
  <c r="J30" i="8"/>
  <c r="J33" i="8"/>
  <c r="J31" i="8"/>
  <c r="J29" i="8"/>
  <c r="J27" i="8"/>
  <c r="J21" i="8"/>
  <c r="J25" i="8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8" i="9"/>
  <c r="K7" i="15"/>
  <c r="K8" i="15"/>
  <c r="K9" i="15"/>
  <c r="K10" i="15"/>
  <c r="K11" i="15"/>
  <c r="K15" i="15"/>
  <c r="K16" i="15"/>
  <c r="K17" i="15"/>
  <c r="K18" i="15"/>
  <c r="A3" i="15"/>
  <c r="B3" i="15"/>
  <c r="C3" i="15"/>
  <c r="A5" i="15"/>
  <c r="B5" i="15"/>
  <c r="C5" i="15"/>
  <c r="A6" i="15"/>
  <c r="B6" i="15"/>
  <c r="C6" i="15"/>
  <c r="A7" i="15"/>
  <c r="B7" i="15"/>
  <c r="C7" i="15"/>
  <c r="A8" i="15"/>
  <c r="B8" i="15"/>
  <c r="C8" i="15"/>
  <c r="A9" i="15"/>
  <c r="B9" i="15"/>
  <c r="C9" i="15"/>
  <c r="A10" i="15"/>
  <c r="B10" i="15"/>
  <c r="C10" i="15"/>
  <c r="A11" i="15"/>
  <c r="B11" i="15"/>
  <c r="C11" i="15"/>
  <c r="A12" i="15"/>
  <c r="B12" i="15"/>
  <c r="C12" i="15"/>
  <c r="A13" i="15"/>
  <c r="B13" i="15"/>
  <c r="C13" i="15"/>
  <c r="A14" i="15"/>
  <c r="B14" i="15"/>
  <c r="C14" i="15"/>
  <c r="A15" i="15"/>
  <c r="B15" i="15"/>
  <c r="C15" i="15"/>
  <c r="A16" i="15"/>
  <c r="B16" i="15"/>
  <c r="C16" i="15"/>
  <c r="A17" i="15"/>
  <c r="B17" i="15"/>
  <c r="C17" i="15"/>
  <c r="A18" i="15"/>
  <c r="B18" i="15"/>
  <c r="C18" i="15"/>
  <c r="B3" i="14"/>
  <c r="N21" i="14"/>
  <c r="M20" i="13"/>
  <c r="B3" i="13"/>
  <c r="M21" i="13"/>
  <c r="B3" i="11"/>
  <c r="M21" i="11"/>
  <c r="J31" i="14"/>
  <c r="N27" i="14"/>
  <c r="N31" i="14"/>
  <c r="O31" i="14"/>
  <c r="N35" i="14"/>
  <c r="J27" i="14"/>
  <c r="J35" i="14"/>
  <c r="J28" i="14"/>
  <c r="J32" i="14"/>
  <c r="J36" i="14"/>
  <c r="N32" i="14"/>
  <c r="J25" i="14"/>
  <c r="J29" i="14"/>
  <c r="J33" i="14"/>
  <c r="J37" i="14"/>
  <c r="N36" i="14"/>
  <c r="N25" i="14"/>
  <c r="N29" i="14"/>
  <c r="N33" i="14"/>
  <c r="N37" i="14"/>
  <c r="J26" i="14"/>
  <c r="J30" i="14"/>
  <c r="J34" i="14"/>
  <c r="J38" i="14"/>
  <c r="N28" i="14"/>
  <c r="O28" i="14"/>
  <c r="N26" i="14"/>
  <c r="N30" i="14"/>
  <c r="N34" i="14"/>
  <c r="N38" i="14"/>
  <c r="N10" i="14"/>
  <c r="J12" i="14"/>
  <c r="J14" i="14"/>
  <c r="N14" i="14"/>
  <c r="O14" i="14"/>
  <c r="J16" i="14"/>
  <c r="J18" i="14"/>
  <c r="J8" i="14"/>
  <c r="N18" i="14"/>
  <c r="O18" i="14"/>
  <c r="J10" i="14"/>
  <c r="J20" i="14"/>
  <c r="J11" i="14"/>
  <c r="J15" i="14"/>
  <c r="J19" i="14"/>
  <c r="N11" i="14"/>
  <c r="N15" i="14"/>
  <c r="N19" i="14"/>
  <c r="O19" i="14"/>
  <c r="N8" i="14"/>
  <c r="N12" i="14"/>
  <c r="O12" i="14"/>
  <c r="N16" i="14"/>
  <c r="N20" i="14"/>
  <c r="O20" i="14"/>
  <c r="J9" i="14"/>
  <c r="J13" i="14"/>
  <c r="J17" i="14"/>
  <c r="J21" i="14"/>
  <c r="O21" i="14"/>
  <c r="N9" i="14"/>
  <c r="N13" i="14"/>
  <c r="N17" i="14"/>
  <c r="I18" i="13"/>
  <c r="M18" i="13"/>
  <c r="M11" i="13"/>
  <c r="M15" i="13"/>
  <c r="I8" i="13"/>
  <c r="I12" i="13"/>
  <c r="I16" i="13"/>
  <c r="M8" i="13"/>
  <c r="M12" i="13"/>
  <c r="M16" i="13"/>
  <c r="I9" i="13"/>
  <c r="I13" i="13"/>
  <c r="I17" i="13"/>
  <c r="M9" i="13"/>
  <c r="M13" i="13"/>
  <c r="M17" i="13"/>
  <c r="I10" i="13"/>
  <c r="I14" i="13"/>
  <c r="M10" i="13"/>
  <c r="M14" i="13"/>
  <c r="I11" i="13"/>
  <c r="I15" i="13"/>
  <c r="I19" i="13"/>
  <c r="M19" i="13"/>
  <c r="I20" i="13"/>
  <c r="I21" i="13"/>
  <c r="I8" i="11"/>
  <c r="I21" i="11"/>
  <c r="I20" i="11"/>
  <c r="I19" i="11"/>
  <c r="I12" i="11"/>
  <c r="I11" i="11"/>
  <c r="I10" i="11"/>
  <c r="I9" i="11"/>
  <c r="I18" i="11"/>
  <c r="M10" i="11"/>
  <c r="I17" i="11"/>
  <c r="M11" i="11"/>
  <c r="I14" i="11"/>
  <c r="M12" i="11"/>
  <c r="I13" i="11"/>
  <c r="M13" i="11"/>
  <c r="M14" i="11"/>
  <c r="M15" i="11"/>
  <c r="I16" i="11"/>
  <c r="M8" i="11"/>
  <c r="M16" i="11"/>
  <c r="I15" i="11"/>
  <c r="M9" i="11"/>
  <c r="M17" i="11"/>
  <c r="M18" i="11"/>
  <c r="M19" i="11"/>
  <c r="M20" i="11"/>
  <c r="O35" i="14"/>
  <c r="O25" i="14"/>
  <c r="O17" i="14"/>
  <c r="O36" i="14"/>
  <c r="O13" i="14"/>
  <c r="O16" i="14"/>
  <c r="O9" i="14"/>
  <c r="O8" i="14"/>
  <c r="O37" i="14"/>
  <c r="O10" i="14"/>
  <c r="O15" i="14"/>
  <c r="O11" i="14"/>
  <c r="O33" i="14"/>
  <c r="O32" i="14"/>
  <c r="O27" i="14"/>
  <c r="O38" i="14"/>
  <c r="O34" i="14"/>
  <c r="O30" i="14"/>
  <c r="O26" i="14"/>
  <c r="O29" i="14"/>
  <c r="E8" i="3"/>
  <c r="C6" i="5"/>
  <c r="G4" i="5"/>
  <c r="G11" i="5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4" i="8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4" i="1"/>
  <c r="A12" i="9"/>
  <c r="C30" i="5"/>
  <c r="B12" i="9"/>
  <c r="B30" i="5"/>
  <c r="C12" i="9"/>
  <c r="D12" i="9"/>
  <c r="A19" i="9"/>
  <c r="C37" i="5"/>
  <c r="B19" i="9"/>
  <c r="B37" i="5"/>
  <c r="C19" i="9"/>
  <c r="D19" i="9"/>
  <c r="A17" i="9"/>
  <c r="C35" i="5"/>
  <c r="B17" i="9"/>
  <c r="B35" i="5"/>
  <c r="C17" i="9"/>
  <c r="D17" i="9"/>
  <c r="A18" i="9"/>
  <c r="C36" i="5"/>
  <c r="B18" i="9"/>
  <c r="B36" i="5"/>
  <c r="C18" i="9"/>
  <c r="D18" i="9"/>
  <c r="A10" i="9"/>
  <c r="C28" i="5"/>
  <c r="B10" i="9"/>
  <c r="B28" i="5"/>
  <c r="C10" i="9"/>
  <c r="D10" i="9"/>
  <c r="A11" i="9"/>
  <c r="C29" i="5"/>
  <c r="B11" i="9"/>
  <c r="B29" i="5"/>
  <c r="C11" i="9"/>
  <c r="D11" i="9"/>
  <c r="G3" i="5"/>
  <c r="D15" i="3"/>
  <c r="D16" i="3"/>
  <c r="D17" i="3"/>
  <c r="D18" i="3"/>
  <c r="D19" i="3"/>
  <c r="D20" i="3"/>
  <c r="F20" i="3"/>
  <c r="D21" i="3"/>
  <c r="D8" i="3"/>
  <c r="D9" i="3"/>
  <c r="D10" i="3"/>
  <c r="F10" i="3"/>
  <c r="D11" i="3"/>
  <c r="D12" i="3"/>
  <c r="D13" i="3"/>
  <c r="E14" i="3"/>
  <c r="F14" i="3"/>
  <c r="F17" i="5"/>
  <c r="D14" i="3"/>
  <c r="B4" i="3"/>
  <c r="E15" i="3"/>
  <c r="F15" i="3"/>
  <c r="D18" i="5"/>
  <c r="E16" i="3"/>
  <c r="E17" i="3"/>
  <c r="F17" i="3"/>
  <c r="F20" i="5"/>
  <c r="E18" i="3"/>
  <c r="F18" i="3"/>
  <c r="F21" i="5"/>
  <c r="E19" i="3"/>
  <c r="E20" i="3"/>
  <c r="E21" i="3"/>
  <c r="E9" i="3"/>
  <c r="F9" i="3"/>
  <c r="E10" i="3"/>
  <c r="E11" i="3"/>
  <c r="F11" i="3"/>
  <c r="D14" i="5"/>
  <c r="E12" i="3"/>
  <c r="F12" i="3"/>
  <c r="D15" i="5"/>
  <c r="E13" i="3"/>
  <c r="C4" i="5"/>
  <c r="B8" i="3"/>
  <c r="B11" i="5"/>
  <c r="A9" i="9"/>
  <c r="C27" i="5"/>
  <c r="B9" i="9"/>
  <c r="B27" i="5"/>
  <c r="C9" i="9"/>
  <c r="D9" i="9"/>
  <c r="A13" i="9"/>
  <c r="C31" i="5"/>
  <c r="B13" i="9"/>
  <c r="B31" i="5"/>
  <c r="C13" i="9"/>
  <c r="D13" i="9"/>
  <c r="F13" i="9"/>
  <c r="D31" i="5"/>
  <c r="F31" i="5"/>
  <c r="A14" i="9"/>
  <c r="C32" i="5"/>
  <c r="B14" i="9"/>
  <c r="B32" i="5"/>
  <c r="C14" i="9"/>
  <c r="D14" i="9"/>
  <c r="A15" i="9"/>
  <c r="C33" i="5"/>
  <c r="B15" i="9"/>
  <c r="B33" i="5"/>
  <c r="C15" i="9"/>
  <c r="D15" i="9"/>
  <c r="A16" i="9"/>
  <c r="C34" i="5"/>
  <c r="B16" i="9"/>
  <c r="B34" i="5"/>
  <c r="C16" i="9"/>
  <c r="D16" i="9"/>
  <c r="A20" i="9"/>
  <c r="C38" i="5"/>
  <c r="B20" i="9"/>
  <c r="B38" i="5"/>
  <c r="C20" i="9"/>
  <c r="D20" i="9"/>
  <c r="A21" i="9"/>
  <c r="C39" i="5"/>
  <c r="B21" i="9"/>
  <c r="B39" i="5"/>
  <c r="C21" i="9"/>
  <c r="D21" i="9"/>
  <c r="D8" i="9"/>
  <c r="B8" i="9"/>
  <c r="B26" i="5"/>
  <c r="C8" i="9"/>
  <c r="A8" i="9"/>
  <c r="C26" i="5"/>
  <c r="B4" i="9"/>
  <c r="E6" i="9"/>
  <c r="D6" i="9"/>
  <c r="C6" i="9"/>
  <c r="B6" i="9"/>
  <c r="A6" i="9"/>
  <c r="A21" i="3"/>
  <c r="C24" i="5"/>
  <c r="B21" i="3"/>
  <c r="A20" i="3"/>
  <c r="B20" i="3"/>
  <c r="B23" i="5"/>
  <c r="A19" i="3"/>
  <c r="C22" i="5"/>
  <c r="B19" i="3"/>
  <c r="B22" i="5"/>
  <c r="A18" i="3"/>
  <c r="C21" i="5"/>
  <c r="B18" i="3"/>
  <c r="B21" i="5"/>
  <c r="A17" i="3"/>
  <c r="B17" i="3"/>
  <c r="A16" i="3"/>
  <c r="C19" i="5"/>
  <c r="B16" i="3"/>
  <c r="A15" i="3"/>
  <c r="C18" i="5"/>
  <c r="B15" i="3"/>
  <c r="B18" i="5"/>
  <c r="A14" i="3"/>
  <c r="C17" i="5"/>
  <c r="B14" i="3"/>
  <c r="A13" i="3"/>
  <c r="B13" i="3"/>
  <c r="B16" i="5"/>
  <c r="A12" i="3"/>
  <c r="C15" i="5"/>
  <c r="B12" i="3"/>
  <c r="B15" i="5"/>
  <c r="A11" i="3"/>
  <c r="C14" i="5"/>
  <c r="B11" i="3"/>
  <c r="B14" i="5"/>
  <c r="A10" i="3"/>
  <c r="C13" i="5"/>
  <c r="B10" i="3"/>
  <c r="B13" i="5"/>
  <c r="A9" i="3"/>
  <c r="C12" i="5"/>
  <c r="B9" i="3"/>
  <c r="B12" i="5"/>
  <c r="A8" i="3"/>
  <c r="C11" i="5"/>
  <c r="A6" i="3"/>
  <c r="C9" i="5"/>
  <c r="B6" i="3"/>
  <c r="B9" i="5"/>
  <c r="B24" i="5"/>
  <c r="D7" i="2"/>
  <c r="E6" i="3"/>
  <c r="D6" i="3"/>
  <c r="C6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B5" i="2"/>
  <c r="C16" i="5"/>
  <c r="B20" i="5"/>
  <c r="B19" i="5"/>
  <c r="C20" i="5"/>
  <c r="B17" i="5"/>
  <c r="C23" i="5"/>
  <c r="F10" i="9"/>
  <c r="D28" i="5"/>
  <c r="F28" i="5"/>
  <c r="F20" i="9"/>
  <c r="D38" i="5"/>
  <c r="F38" i="5"/>
  <c r="F19" i="9"/>
  <c r="D37" i="5"/>
  <c r="F37" i="5"/>
  <c r="F12" i="9"/>
  <c r="D30" i="5"/>
  <c r="F30" i="5"/>
  <c r="F21" i="9"/>
  <c r="D39" i="5"/>
  <c r="F39" i="5"/>
  <c r="F16" i="9"/>
  <c r="D34" i="5"/>
  <c r="F34" i="5"/>
  <c r="F14" i="9"/>
  <c r="D32" i="5"/>
  <c r="F32" i="5"/>
  <c r="F8" i="9"/>
  <c r="D26" i="5"/>
  <c r="F26" i="5"/>
  <c r="F9" i="9"/>
  <c r="D27" i="5"/>
  <c r="F27" i="5"/>
  <c r="F21" i="3"/>
  <c r="D24" i="5"/>
  <c r="F11" i="9"/>
  <c r="D29" i="5"/>
  <c r="F29" i="5"/>
  <c r="F17" i="9"/>
  <c r="D35" i="5"/>
  <c r="F35" i="5"/>
  <c r="F15" i="9"/>
  <c r="D33" i="5"/>
  <c r="F33" i="5"/>
  <c r="F18" i="9"/>
  <c r="D36" i="5"/>
  <c r="F36" i="5"/>
  <c r="F23" i="5"/>
  <c r="D23" i="5"/>
  <c r="F19" i="3"/>
  <c r="F22" i="5"/>
  <c r="D11" i="5"/>
  <c r="F13" i="3"/>
  <c r="D16" i="5"/>
  <c r="F16" i="3"/>
  <c r="D19" i="5"/>
  <c r="F12" i="5"/>
  <c r="D12" i="5"/>
  <c r="D13" i="5"/>
  <c r="F13" i="5"/>
  <c r="D21" i="5"/>
  <c r="D20" i="5"/>
  <c r="F11" i="5"/>
  <c r="H11" i="5"/>
  <c r="F14" i="5"/>
  <c r="D17" i="5"/>
  <c r="G28" i="5"/>
  <c r="G30" i="5"/>
  <c r="G17" i="5"/>
  <c r="H17" i="5"/>
  <c r="G15" i="5"/>
  <c r="F16" i="5"/>
  <c r="G16" i="5"/>
  <c r="G26" i="5"/>
  <c r="G32" i="5"/>
  <c r="F18" i="5"/>
  <c r="H3" i="5"/>
  <c r="H4" i="5"/>
  <c r="D22" i="5"/>
  <c r="G14" i="5"/>
  <c r="G29" i="5"/>
  <c r="F15" i="5"/>
  <c r="G13" i="5"/>
  <c r="G12" i="5"/>
  <c r="G27" i="5"/>
  <c r="G31" i="5"/>
  <c r="H31" i="5"/>
  <c r="H28" i="5"/>
  <c r="H30" i="5"/>
  <c r="H26" i="5"/>
  <c r="H29" i="5"/>
  <c r="H32" i="5"/>
  <c r="F24" i="5"/>
  <c r="H27" i="5"/>
  <c r="H13" i="5"/>
  <c r="H12" i="5"/>
  <c r="F19" i="5"/>
  <c r="H14" i="5"/>
  <c r="H15" i="5"/>
  <c r="H16" i="5"/>
  <c r="G18" i="5"/>
  <c r="H18" i="5"/>
  <c r="G22" i="5"/>
  <c r="H22" i="5"/>
  <c r="G39" i="5"/>
  <c r="H39" i="5"/>
  <c r="G33" i="5"/>
  <c r="H33" i="5"/>
  <c r="G21" i="5"/>
  <c r="H21" i="5"/>
  <c r="G37" i="5"/>
  <c r="H37" i="5"/>
  <c r="G35" i="5"/>
  <c r="H35" i="5"/>
  <c r="G20" i="5"/>
  <c r="H20" i="5"/>
  <c r="G24" i="5"/>
  <c r="H24" i="5"/>
  <c r="G36" i="5"/>
  <c r="H36" i="5"/>
  <c r="G19" i="5"/>
  <c r="G23" i="5"/>
  <c r="H23" i="5"/>
  <c r="G38" i="5"/>
  <c r="H38" i="5"/>
  <c r="G34" i="5"/>
  <c r="H34" i="5"/>
  <c r="H19" i="5"/>
</calcChain>
</file>

<file path=xl/sharedStrings.xml><?xml version="1.0" encoding="utf-8"?>
<sst xmlns="http://purl.oclc.org/ooxml/spreadsheetml/main" count="491" uniqueCount="237">
  <si>
    <t xml:space="preserve">Version </t>
  </si>
  <si>
    <t>editor</t>
  </si>
  <si>
    <t>date</t>
  </si>
  <si>
    <t>change</t>
  </si>
  <si>
    <t>20241217_fin_cal1_H_GF_bower.xlsx</t>
  </si>
  <si>
    <t>Jon B</t>
  </si>
  <si>
    <t xml:space="preserve">initial generation of this table </t>
  </si>
  <si>
    <t>V002</t>
  </si>
  <si>
    <t>updated grid and spoke tranparencies to actual values.</t>
  </si>
  <si>
    <t>add input of version of data and fit parameters in model regression 'fin_cal1_H_KE_Response_vals'</t>
  </si>
  <si>
    <t>V003</t>
  </si>
  <si>
    <t>updated H Response function to new DER measurements</t>
  </si>
  <si>
    <t>Removed incorrect calculation of mean energy loss. Fixed intrinsic center energy values and added key to H energy loss</t>
  </si>
  <si>
    <t>Added O Ke Response Results and resulting GF calculation</t>
  </si>
  <si>
    <t>V004</t>
  </si>
  <si>
    <t>updated abs GF and added error per Fatemeh input</t>
  </si>
  <si>
    <t>v005</t>
  </si>
  <si>
    <t>added baseline GF calculation for He</t>
  </si>
  <si>
    <t>Added baseline GF calculation for Ne</t>
  </si>
  <si>
    <t>added sputtering GF comparison with IBEX</t>
  </si>
  <si>
    <t>v006</t>
  </si>
  <si>
    <t>Added Model-error estimation for H and O</t>
  </si>
  <si>
    <t>jon B</t>
  </si>
  <si>
    <t>Added error estimation for O Esteps 1-6</t>
  </si>
  <si>
    <t xml:space="preserve">Jon B </t>
  </si>
  <si>
    <t>Bug fix in O GF calculation, ESA-CS efficiency previously reported from H values, not correctly copy-pasted :(</t>
  </si>
  <si>
    <t>Fatemeh R</t>
  </si>
  <si>
    <t xml:space="preserve">Added Peak-location error to O-KE_Respons_vals for center E / added dGF to H GF and O GF </t>
  </si>
  <si>
    <t>Fixed Effic_ESA-CS Mean in O GF / Updated Model Fit Residual in O Error</t>
  </si>
  <si>
    <t>Grid Name</t>
  </si>
  <si>
    <t>Trans [%]</t>
  </si>
  <si>
    <t>Reference</t>
  </si>
  <si>
    <t>Comments</t>
  </si>
  <si>
    <t>p10 grid and spokes</t>
  </si>
  <si>
    <t>20240804_p10_P2_GridsNspokes_SR.pdf</t>
  </si>
  <si>
    <t>[.91 (12/17/2024)] [.89(12/17/2024 per Fatemeh txt)]</t>
  </si>
  <si>
    <t>p2 Spokes</t>
  </si>
  <si>
    <t>Also per supplemental document</t>
  </si>
  <si>
    <t>ToF Enterance Grid</t>
  </si>
  <si>
    <t>20250313_ToFEnterance_GridsNspokes_CF.pdf</t>
  </si>
  <si>
    <t>Coll spokes</t>
  </si>
  <si>
    <t>Model, cal from same study I did looking at 92 spokes</t>
  </si>
  <si>
    <t>value is &gt;1 because the total open area of the collimator ( and thus the coll spokes are included in the absolute geometric factor)</t>
  </si>
  <si>
    <t>Total Transparency</t>
  </si>
  <si>
    <t>Hydrogen</t>
  </si>
  <si>
    <t>value</t>
  </si>
  <si>
    <t>Unit</t>
  </si>
  <si>
    <t>Ref</t>
  </si>
  <si>
    <t>Comment</t>
  </si>
  <si>
    <t>TOF Efficiency</t>
  </si>
  <si>
    <t>%</t>
  </si>
  <si>
    <t>Final Cal 12/18/2024</t>
  </si>
  <si>
    <t>Absolute GF</t>
  </si>
  <si>
    <t>cm^2sr</t>
  </si>
  <si>
    <t>F. Rahmanifard 5/16/2025</t>
  </si>
  <si>
    <t>Total Grid Transparency</t>
  </si>
  <si>
    <t>[%]</t>
  </si>
  <si>
    <t>ESA-CS Eff Error</t>
  </si>
  <si>
    <t>GF</t>
  </si>
  <si>
    <t>dESA-CS (fit)</t>
  </si>
  <si>
    <t>dN_abm</t>
  </si>
  <si>
    <t>dCS-Facet</t>
  </si>
  <si>
    <t>dN_IMAP-lo</t>
  </si>
  <si>
    <t>dEff_ESA-CS Mean</t>
  </si>
  <si>
    <t>[U+_n/U+_6]</t>
  </si>
  <si>
    <t>[ke/ke]</t>
  </si>
  <si>
    <t>[cm^2stkeV/keV]</t>
  </si>
  <si>
    <t>Extrapolated</t>
  </si>
  <si>
    <t>Species</t>
  </si>
  <si>
    <t>O</t>
  </si>
  <si>
    <t>Fit type:</t>
  </si>
  <si>
    <t>log_gauss</t>
  </si>
  <si>
    <t>E_mode</t>
  </si>
  <si>
    <t>estep</t>
  </si>
  <si>
    <t xml:space="preserve">scale_fact </t>
  </si>
  <si>
    <t>peak [eV]</t>
  </si>
  <si>
    <t>fwhm [eV]</t>
  </si>
  <si>
    <t>de_e</t>
  </si>
  <si>
    <t>Effic_ESA-CS max</t>
  </si>
  <si>
    <t>Effic_ESA-CS Mean |FWHM|</t>
  </si>
  <si>
    <t>p0[a,sigma,mu]: y = a*(x*\sigma*\sqrt{2*\pi})^{-1}\exp{-(\log(x) - \mu)^2/(2\sigma^2)}</t>
  </si>
  <si>
    <t>p0_err</t>
  </si>
  <si>
    <t>ESA-CS Intrinsic CE</t>
  </si>
  <si>
    <t>KE_loss</t>
  </si>
  <si>
    <t>HiRes</t>
  </si>
  <si>
    <t>[2.33682783e-03 4.35718181e-01 3.14433977e+00]</t>
  </si>
  <si>
    <t>[9.89917516e-05 1.72087448e-02 2.26461447e-02]</t>
  </si>
  <si>
    <t>[0.00708144 0.3973185  3.76230749]</t>
  </si>
  <si>
    <t>[0.0002669  0.01435541 0.01831059]</t>
  </si>
  <si>
    <t>[0.02317395 0.4111746  4.43472341]</t>
  </si>
  <si>
    <t>[0.0009584  0.01609461 0.02083546]</t>
  </si>
  <si>
    <t>[0.07467691 0.42375507 5.13148341]</t>
  </si>
  <si>
    <t>[0.00344788 0.01836809 0.02399327]</t>
  </si>
  <si>
    <t>[0.22283057 0.44032831 5.80680964]</t>
  </si>
  <si>
    <t>[0.00928949 0.01713908 0.02250074]</t>
  </si>
  <si>
    <t>[0.90550887 0.48351008 6.60523335]</t>
  </si>
  <si>
    <t>[0.03851489 0.01844697 0.02534967]</t>
  </si>
  <si>
    <t>[2.71377238 0.47737851 7.26239252]</t>
  </si>
  <si>
    <t>[0.13292328 0.02091848 0.02885354]</t>
  </si>
  <si>
    <t>HiTh</t>
  </si>
  <si>
    <t>[0.00708839 0.63798117 3.42445785]</t>
  </si>
  <si>
    <t>[0.00019892 0.01356994 0.02228351]</t>
  </si>
  <si>
    <t>[0.02179638 0.60513381 4.04795327]</t>
  </si>
  <si>
    <t>[0.00052802 0.01153368 0.01824901]</t>
  </si>
  <si>
    <t>[0.06792887 0.58210501 4.67582685]</t>
  </si>
  <si>
    <t>[0.00195245 0.01349505 0.02081633]</t>
  </si>
  <si>
    <t>[0.24749292 0.61144643 5.40767708]</t>
  </si>
  <si>
    <t>[0.00580131 0.01118865 0.01785659]</t>
  </si>
  <si>
    <t>[0.78669072 0.61584467 6.07780049]</t>
  </si>
  <si>
    <t>[0.02337545 0.01420873 0.02280553]</t>
  </si>
  <si>
    <t>[2.82551282 0.64048518 6.83253819]</t>
  </si>
  <si>
    <t>[0.07017751 0.01199105 0.01982356]</t>
  </si>
  <si>
    <t>[8.59302422 0.61660314 7.50534532]</t>
  </si>
  <si>
    <t>[0.25331923 0.01406093 0.02269158]</t>
  </si>
  <si>
    <t xml:space="preserve">Fit Error </t>
  </si>
  <si>
    <t>sigma</t>
  </si>
  <si>
    <t>mu</t>
  </si>
  <si>
    <t>delta-sgima_rel</t>
  </si>
  <si>
    <t>delta-mu_rel</t>
  </si>
  <si>
    <t>delta-sigma</t>
  </si>
  <si>
    <t>delt-mu</t>
  </si>
  <si>
    <t>x_peak = exp(mu -sigma^2)</t>
  </si>
  <si>
    <t>delta_x_peak = peak * sqrt(delta_mu^2 + (2*sigma*delta_sigma))</t>
  </si>
  <si>
    <t>Regression Information</t>
  </si>
  <si>
    <t>DER measurements</t>
  </si>
  <si>
    <t>20250331-FMv3_T105_PSPL_FinalCal_DER.csv</t>
  </si>
  <si>
    <t>Model regression notebook:</t>
  </si>
  <si>
    <t>20250408_FinalCal_DER1 O Model Regression</t>
  </si>
  <si>
    <t>Regression Results</t>
  </si>
  <si>
    <t>20250331-FMv3_T105_PSPL_FinalCal_DER_O_SIM.csv</t>
  </si>
  <si>
    <t>Model Energy Response Calc</t>
  </si>
  <si>
    <t>20250408_FinalCal_O Response</t>
  </si>
  <si>
    <t>Model Simulator CS cal settings</t>
  </si>
  <si>
    <t>fin_cal_O_2</t>
  </si>
  <si>
    <t>Key</t>
  </si>
  <si>
    <t>ESA_CS Intrinsic CE</t>
  </si>
  <si>
    <t>Intrinsic center energy of the ESA-CS subsystem, Energy response peak location of particles recoiling from CS, determined through fitting</t>
  </si>
  <si>
    <t>H</t>
  </si>
  <si>
    <t>Fit Type</t>
  </si>
  <si>
    <t>gauss</t>
  </si>
  <si>
    <t>p0['a','x0','sigma']: y = a*e^{\dfrac{-(x-x0)^2}{2*\sigma**2}</t>
  </si>
  <si>
    <t>[3.89045837e-04 1.63285280e+01 4.57952884e+00]</t>
  </si>
  <si>
    <t>[6.12266243e-06 8.32195609e-02 8.32304205e-02]</t>
  </si>
  <si>
    <t>[4.38614770e-04 3.04730207e+01 8.54915086e+00]</t>
  </si>
  <si>
    <t>[7.61337476e-06 1.71348684e-01 1.71360937e-01]</t>
  </si>
  <si>
    <t>[5.18260005e-04 5.57730958e+01 1.61294226e+01]</t>
  </si>
  <si>
    <t>[1.05365676e-05 3.78643982e-01 3.78680803e-01]</t>
  </si>
  <si>
    <t>[6.29097720e-04 1.06283504e+02 2.94289070e+01]</t>
  </si>
  <si>
    <t>[1.10745684e-05 5.98207828e-01 5.98226749e-01]</t>
  </si>
  <si>
    <t>[7.88237930e-04 2.00011130e+02 5.52337354e+01]</t>
  </si>
  <si>
    <t>[1.86136138e-05 1.50609396e+00 1.50613394e+00]</t>
  </si>
  <si>
    <t>[9.62622378e-04 4.04859947e+02 1.15504197e+02]</t>
  </si>
  <si>
    <t>[2.19015238e-05 3.03448358e+00 3.03464171e+00]</t>
  </si>
  <si>
    <t>[1.14263827e-03 7.87201212e+02 2.39974360e+02]</t>
  </si>
  <si>
    <t>[2.86385838e-05 6.94483444e+00 6.94618144e+00]</t>
  </si>
  <si>
    <t>[5.89570693e-04 1.71957216e+01 7.52898623e+00]</t>
  </si>
  <si>
    <t>[8.11260625e-06 1.19590384e-01 1.22666939e-01]</t>
  </si>
  <si>
    <t>[7.00517158e-04 3.23729128e+01 1.37421978e+01]</t>
  </si>
  <si>
    <t>[9.48197039e-06 2.14594201e-01 2.18245616e-01]</t>
  </si>
  <si>
    <t>[8.62507733e-04 5.94864154e+01 2.42791882e+01]</t>
  </si>
  <si>
    <t>[1.34358197e-05 4.36315151e-01 4.41120932e-01]</t>
  </si>
  <si>
    <t>[1.06688675e-03 1.14404657e+02 4.54534004e+01]</t>
  </si>
  <si>
    <t>[1.59153795e-05 7.82313926e-01 7.88580576e-01]</t>
  </si>
  <si>
    <t>[1.24524106e-03 2.13754873e+02 8.99716991e+01]</t>
  </si>
  <si>
    <t>[1.89783557e-05 1.58185626e+00 1.60224168e+00]</t>
  </si>
  <si>
    <t>[1.61171559e-03 4.37360126e+02 1.87134726e+02]</t>
  </si>
  <si>
    <t>[2.67425936e-05 3.58200695e+00 3.63369696e+00]</t>
  </si>
  <si>
    <t>[2.05072206e-03 8.38851936e+02 3.61064426e+02]</t>
  </si>
  <si>
    <t>[3.92081575e-05 7.96369152e+00 8.08305340e+00]</t>
  </si>
  <si>
    <t>20250326-FMv3_T105_PSPL_FinalCal_DER.csv</t>
  </si>
  <si>
    <t>20250327_FinalCal_DER1 H Model Regression.ipynb</t>
  </si>
  <si>
    <t>20250326-FMv3_T105_PSPL_FinalCal_DER_H_SIM.csv</t>
  </si>
  <si>
    <t>20250327_FinalCal_H Response.ipynb</t>
  </si>
  <si>
    <t>fin_cal_H_3</t>
  </si>
  <si>
    <t>Error Analysis</t>
  </si>
  <si>
    <t>20250520 Final Cal Result Error H</t>
  </si>
  <si>
    <t>Oxygen</t>
  </si>
  <si>
    <t>Total</t>
  </si>
  <si>
    <t>dESA-CS</t>
  </si>
  <si>
    <t>dN_IBEX-lo</t>
  </si>
  <si>
    <t>dN_IMAP_ref</t>
  </si>
  <si>
    <t>dN_IBEX_ref</t>
  </si>
  <si>
    <t>Model Fit Residual</t>
  </si>
  <si>
    <t>Instr. Stat</t>
  </si>
  <si>
    <t>ABM Stat</t>
  </si>
  <si>
    <t>IBEX Stat</t>
  </si>
  <si>
    <t>IMAP-E6.5 Stat</t>
  </si>
  <si>
    <t>IBEX E6.5 Stat</t>
  </si>
  <si>
    <t>Std Facet</t>
  </si>
  <si>
    <t>NaN</t>
  </si>
  <si>
    <t>IBEX-lo supplemental data has no estimate inc. flux error</t>
  </si>
  <si>
    <t>Nearest Neighbor Extrapolated</t>
  </si>
  <si>
    <t>Quadratic interpolated</t>
  </si>
  <si>
    <t xml:space="preserve">Error analysis </t>
  </si>
  <si>
    <t>20260311 Final Cal Result Error O</t>
  </si>
  <si>
    <t>20260320_Oxygen_GF_Uncertainty.pptx</t>
  </si>
  <si>
    <t>20260320_OxygenGF_Error_Ramanifard.ipynb</t>
  </si>
  <si>
    <t>20260324_OxygenGF_Error_Rahmanifard.docx</t>
  </si>
  <si>
    <t>Why</t>
  </si>
  <si>
    <t>Increase Factor</t>
  </si>
  <si>
    <t>Increase in FoV</t>
  </si>
  <si>
    <t>Redundant with abs geometric factor, previously 1.9</t>
  </si>
  <si>
    <t>Hi-Res</t>
  </si>
  <si>
    <t>Hi-Th</t>
  </si>
  <si>
    <t>Elimination of Hi Res sector</t>
  </si>
  <si>
    <t>Redundant with abs geometric factor, previously 1.2</t>
  </si>
  <si>
    <t>Change in Passband/ESA-CS collection efficiency</t>
  </si>
  <si>
    <t>Total_GF increase</t>
  </si>
  <si>
    <t>p2 grid</t>
  </si>
  <si>
    <t>Abs Geometric Factor</t>
  </si>
  <si>
    <t>Coll Subsystem Cal</t>
  </si>
  <si>
    <t>GF IMAP</t>
  </si>
  <si>
    <t xml:space="preserve">GF IBEX  </t>
  </si>
  <si>
    <t>GF Increase</t>
  </si>
  <si>
    <t>GF Increase Expected</t>
  </si>
  <si>
    <t>Observed/Expected Increase</t>
  </si>
  <si>
    <t>[IMAP]</t>
  </si>
  <si>
    <t>[lo_cal_dat_H_v09_interp.xlsx]</t>
  </si>
  <si>
    <t>[lo_cal_dat_O_v07_interp.xlsx]</t>
  </si>
  <si>
    <t>Neon</t>
  </si>
  <si>
    <t>spec_obs</t>
  </si>
  <si>
    <t>cal_eff_total</t>
  </si>
  <si>
    <t>ESA_CS_effic</t>
  </si>
  <si>
    <t>tof_effic</t>
  </si>
  <si>
    <t>Inc. Energy [ev]</t>
  </si>
  <si>
    <t>Estep</t>
  </si>
  <si>
    <t>ke_He_norm</t>
  </si>
  <si>
    <t>Ne</t>
  </si>
  <si>
    <t>Calculation Notebook</t>
  </si>
  <si>
    <t>20260128_All_Cal_DER_Ne</t>
  </si>
  <si>
    <t>Helium</t>
  </si>
  <si>
    <t>He</t>
  </si>
  <si>
    <t>20260121_All_Cal_DER_He.ipyb</t>
  </si>
  <si>
    <t>GF Combined</t>
  </si>
  <si>
    <t>ESA-CS Intrinsic CE [eV]</t>
  </si>
  <si>
    <t>IBEX-lo Ref</t>
  </si>
  <si>
    <t>GF IBEX-lo Ref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</si>
</sst>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 tint="0.249977111117893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9E9E"/>
        <bgColor indexed="64"/>
      </patternFill>
    </fill>
    <fill>
      <patternFill patternType="solid">
        <fgColor rgb="FFFFDDDD"/>
        <bgColor indexed="64"/>
      </patternFill>
    </fill>
  </fills>
  <borders count="59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 style="medium">
        <color indexed="64"/>
      </top>
      <bottom/>
      <diagonal/>
    </border>
    <border>
      <start style="medium">
        <color indexed="64"/>
      </start>
      <end/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/>
      <diagonal/>
    </border>
    <border>
      <start/>
      <end style="medium">
        <color indexed="64"/>
      </end>
      <top/>
      <bottom/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 style="thin">
        <color indexed="64"/>
      </start>
      <end/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/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/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medium">
        <color indexed="64"/>
      </start>
      <end/>
      <top style="thin">
        <color rgb="FF000000"/>
      </top>
      <bottom style="medium">
        <color rgb="FF000000"/>
      </bottom>
      <diagonal/>
    </border>
    <border>
      <start/>
      <end/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/>
    <xf numFmtId="0" fontId="0" fillId="0" borderId="19" xfId="0" applyBorder="1"/>
    <xf numFmtId="2" fontId="0" fillId="0" borderId="19" xfId="0" applyNumberFormat="1" applyBorder="1"/>
    <xf numFmtId="0" fontId="0" fillId="0" borderId="21" xfId="0" applyBorder="1"/>
    <xf numFmtId="0" fontId="0" fillId="0" borderId="10" xfId="0" applyBorder="1" applyAlignment="1">
      <alignment wrapText="1"/>
    </xf>
    <xf numFmtId="2" fontId="0" fillId="0" borderId="11" xfId="0" applyNumberFormat="1" applyBorder="1" applyAlignment="1">
      <alignment wrapText="1"/>
    </xf>
    <xf numFmtId="2" fontId="0" fillId="0" borderId="15" xfId="0" applyNumberFormat="1" applyBorder="1" applyAlignment="1">
      <alignment wrapText="1"/>
    </xf>
    <xf numFmtId="0" fontId="0" fillId="0" borderId="12" xfId="0" applyBorder="1" applyAlignment="1">
      <alignment wrapText="1"/>
    </xf>
    <xf numFmtId="2" fontId="0" fillId="0" borderId="16" xfId="0" applyNumberFormat="1" applyBorder="1"/>
    <xf numFmtId="11" fontId="0" fillId="0" borderId="0" xfId="0" applyNumberFormat="1" applyAlignment="1">
      <alignment wrapText="1"/>
    </xf>
    <xf numFmtId="0" fontId="0" fillId="0" borderId="13" xfId="0" applyBorder="1" applyAlignment="1">
      <alignment wrapText="1"/>
    </xf>
    <xf numFmtId="11" fontId="0" fillId="0" borderId="14" xfId="0" applyNumberFormat="1" applyBorder="1" applyAlignment="1">
      <alignment wrapText="1"/>
    </xf>
    <xf numFmtId="2" fontId="0" fillId="0" borderId="14" xfId="0" applyNumberFormat="1" applyBorder="1"/>
    <xf numFmtId="2" fontId="0" fillId="0" borderId="17" xfId="0" applyNumberFormat="1" applyBorder="1"/>
    <xf numFmtId="0" fontId="0" fillId="33" borderId="11" xfId="0" applyFill="1" applyBorder="1" applyAlignment="1">
      <alignment wrapText="1"/>
    </xf>
    <xf numFmtId="0" fontId="0" fillId="33" borderId="14" xfId="0" applyFill="1" applyBorder="1"/>
    <xf numFmtId="11" fontId="0" fillId="33" borderId="0" xfId="0" applyNumberFormat="1" applyFill="1"/>
    <xf numFmtId="11" fontId="0" fillId="33" borderId="14" xfId="0" applyNumberFormat="1" applyFill="1" applyBorder="1"/>
    <xf numFmtId="0" fontId="0" fillId="34" borderId="19" xfId="0" applyFill="1" applyBorder="1"/>
    <xf numFmtId="2" fontId="0" fillId="34" borderId="19" xfId="0" applyNumberFormat="1" applyFill="1" applyBorder="1"/>
    <xf numFmtId="0" fontId="0" fillId="34" borderId="10" xfId="0" applyFill="1" applyBorder="1"/>
    <xf numFmtId="0" fontId="0" fillId="34" borderId="11" xfId="0" applyFill="1" applyBorder="1"/>
    <xf numFmtId="0" fontId="0" fillId="34" borderId="11" xfId="0" applyFill="1" applyBorder="1" applyAlignment="1">
      <alignment wrapText="1"/>
    </xf>
    <xf numFmtId="0" fontId="0" fillId="0" borderId="22" xfId="0" applyBorder="1"/>
    <xf numFmtId="0" fontId="0" fillId="0" borderId="22" xfId="0" applyBorder="1" applyAlignment="1">
      <alignment wrapText="1"/>
    </xf>
    <xf numFmtId="0" fontId="0" fillId="0" borderId="23" xfId="0" applyBorder="1"/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25" xfId="0" applyBorder="1" applyAlignment="1">
      <alignment wrapText="1"/>
    </xf>
    <xf numFmtId="0" fontId="0" fillId="35" borderId="26" xfId="0" applyFill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wrapText="1"/>
    </xf>
    <xf numFmtId="0" fontId="0" fillId="35" borderId="29" xfId="0" applyFill="1" applyBorder="1"/>
    <xf numFmtId="11" fontId="0" fillId="0" borderId="22" xfId="0" applyNumberFormat="1" applyBorder="1"/>
    <xf numFmtId="0" fontId="8" fillId="4" borderId="22" xfId="8" applyBorder="1"/>
    <xf numFmtId="11" fontId="8" fillId="4" borderId="22" xfId="8" applyNumberFormat="1" applyBorder="1"/>
    <xf numFmtId="11" fontId="0" fillId="0" borderId="23" xfId="0" applyNumberFormat="1" applyBorder="1"/>
    <xf numFmtId="0" fontId="0" fillId="0" borderId="30" xfId="0" applyBorder="1"/>
    <xf numFmtId="11" fontId="0" fillId="0" borderId="30" xfId="0" applyNumberFormat="1" applyBorder="1"/>
    <xf numFmtId="0" fontId="0" fillId="34" borderId="31" xfId="0" applyFill="1" applyBorder="1"/>
    <xf numFmtId="0" fontId="0" fillId="34" borderId="32" xfId="0" applyFill="1" applyBorder="1"/>
    <xf numFmtId="11" fontId="0" fillId="34" borderId="32" xfId="0" applyNumberFormat="1" applyFill="1" applyBorder="1"/>
    <xf numFmtId="0" fontId="0" fillId="0" borderId="31" xfId="0" applyBorder="1"/>
    <xf numFmtId="0" fontId="0" fillId="0" borderId="32" xfId="0" applyBorder="1"/>
    <xf numFmtId="11" fontId="0" fillId="0" borderId="32" xfId="0" applyNumberFormat="1" applyBorder="1"/>
    <xf numFmtId="0" fontId="8" fillId="4" borderId="24" xfId="8" applyBorder="1"/>
    <xf numFmtId="0" fontId="8" fillId="4" borderId="25" xfId="8" applyBorder="1"/>
    <xf numFmtId="11" fontId="8" fillId="4" borderId="25" xfId="8" applyNumberFormat="1" applyBorder="1"/>
    <xf numFmtId="11" fontId="8" fillId="4" borderId="26" xfId="8" applyNumberFormat="1" applyBorder="1"/>
    <xf numFmtId="0" fontId="8" fillId="4" borderId="33" xfId="8" applyBorder="1"/>
    <xf numFmtId="11" fontId="8" fillId="4" borderId="34" xfId="8" applyNumberFormat="1" applyBorder="1"/>
    <xf numFmtId="0" fontId="0" fillId="0" borderId="33" xfId="0" applyBorder="1"/>
    <xf numFmtId="11" fontId="0" fillId="0" borderId="34" xfId="0" applyNumberFormat="1" applyBorder="1"/>
    <xf numFmtId="11" fontId="0" fillId="0" borderId="28" xfId="0" applyNumberFormat="1" applyBorder="1"/>
    <xf numFmtId="11" fontId="0" fillId="0" borderId="29" xfId="0" applyNumberFormat="1" applyBorder="1"/>
    <xf numFmtId="11" fontId="0" fillId="0" borderId="35" xfId="0" applyNumberFormat="1" applyBorder="1"/>
    <xf numFmtId="14" fontId="0" fillId="0" borderId="0" xfId="0" applyNumberFormat="1"/>
    <xf numFmtId="0" fontId="0" fillId="0" borderId="18" xfId="0" applyBorder="1" applyAlignment="1">
      <alignment wrapText="1"/>
    </xf>
    <xf numFmtId="164" fontId="0" fillId="0" borderId="19" xfId="0" applyNumberFormat="1" applyBorder="1"/>
    <xf numFmtId="11" fontId="0" fillId="0" borderId="19" xfId="0" applyNumberFormat="1" applyBorder="1"/>
    <xf numFmtId="2" fontId="0" fillId="0" borderId="0" xfId="0" quotePrefix="1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2" fontId="0" fillId="0" borderId="11" xfId="0" applyNumberFormat="1" applyBorder="1"/>
    <xf numFmtId="164" fontId="0" fillId="0" borderId="14" xfId="0" applyNumberFormat="1" applyBorder="1"/>
    <xf numFmtId="11" fontId="0" fillId="0" borderId="14" xfId="0" applyNumberFormat="1" applyBorder="1"/>
    <xf numFmtId="2" fontId="0" fillId="0" borderId="15" xfId="0" applyNumberFormat="1" applyBorder="1"/>
    <xf numFmtId="2" fontId="0" fillId="0" borderId="12" xfId="0" applyNumberFormat="1" applyBorder="1"/>
    <xf numFmtId="2" fontId="0" fillId="0" borderId="18" xfId="0" applyNumberFormat="1" applyBorder="1"/>
    <xf numFmtId="2" fontId="0" fillId="0" borderId="20" xfId="0" applyNumberFormat="1" applyBorder="1"/>
    <xf numFmtId="11" fontId="0" fillId="0" borderId="11" xfId="0" applyNumberFormat="1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9" fillId="36" borderId="0" xfId="0" applyFont="1" applyFill="1" applyAlignment="1">
      <alignment horizontal="right" vertical="top" wrapText="1"/>
    </xf>
    <xf numFmtId="11" fontId="20" fillId="36" borderId="0" xfId="0" applyNumberFormat="1" applyFont="1" applyFill="1" applyAlignment="1">
      <alignment horizontal="right" vertical="center" wrapText="1"/>
    </xf>
    <xf numFmtId="0" fontId="20" fillId="36" borderId="0" xfId="0" applyFont="1" applyFill="1" applyAlignment="1">
      <alignment horizontal="right" vertical="center" wrapText="1"/>
    </xf>
    <xf numFmtId="11" fontId="20" fillId="37" borderId="0" xfId="0" applyNumberFormat="1" applyFont="1" applyFill="1" applyAlignment="1">
      <alignment horizontal="right" vertical="center" wrapText="1"/>
    </xf>
    <xf numFmtId="0" fontId="19" fillId="37" borderId="0" xfId="0" applyFont="1" applyFill="1" applyAlignment="1">
      <alignment horizontal="right" vertical="top" wrapText="1"/>
    </xf>
    <xf numFmtId="0" fontId="20" fillId="37" borderId="0" xfId="0" applyFont="1" applyFill="1" applyAlignment="1">
      <alignment horizontal="right" vertical="center" wrapText="1"/>
    </xf>
    <xf numFmtId="0" fontId="19" fillId="36" borderId="11" xfId="0" applyFont="1" applyFill="1" applyBorder="1" applyAlignment="1">
      <alignment horizontal="right" vertical="top" wrapText="1"/>
    </xf>
    <xf numFmtId="11" fontId="20" fillId="36" borderId="11" xfId="0" applyNumberFormat="1" applyFont="1" applyFill="1" applyBorder="1" applyAlignment="1">
      <alignment horizontal="right" vertical="center" wrapText="1"/>
    </xf>
    <xf numFmtId="0" fontId="20" fillId="36" borderId="11" xfId="0" applyFont="1" applyFill="1" applyBorder="1" applyAlignment="1">
      <alignment horizontal="right" vertical="center" wrapText="1"/>
    </xf>
    <xf numFmtId="0" fontId="19" fillId="36" borderId="14" xfId="0" applyFont="1" applyFill="1" applyBorder="1" applyAlignment="1">
      <alignment horizontal="right" vertical="top" wrapText="1"/>
    </xf>
    <xf numFmtId="11" fontId="20" fillId="36" borderId="14" xfId="0" applyNumberFormat="1" applyFont="1" applyFill="1" applyBorder="1" applyAlignment="1">
      <alignment horizontal="right" vertical="center" wrapText="1"/>
    </xf>
    <xf numFmtId="0" fontId="20" fillId="36" borderId="14" xfId="0" applyFont="1" applyFill="1" applyBorder="1" applyAlignment="1">
      <alignment horizontal="right" vertical="center" wrapText="1"/>
    </xf>
    <xf numFmtId="11" fontId="20" fillId="36" borderId="12" xfId="0" applyNumberFormat="1" applyFont="1" applyFill="1" applyBorder="1" applyAlignment="1">
      <alignment horizontal="right" vertical="center" wrapText="1"/>
    </xf>
    <xf numFmtId="11" fontId="20" fillId="37" borderId="12" xfId="0" applyNumberFormat="1" applyFont="1" applyFill="1" applyBorder="1" applyAlignment="1">
      <alignment horizontal="right" vertical="center" wrapText="1"/>
    </xf>
    <xf numFmtId="11" fontId="20" fillId="36" borderId="10" xfId="0" applyNumberFormat="1" applyFont="1" applyFill="1" applyBorder="1" applyAlignment="1">
      <alignment horizontal="right" vertical="center" wrapText="1"/>
    </xf>
    <xf numFmtId="11" fontId="20" fillId="36" borderId="13" xfId="0" applyNumberFormat="1" applyFont="1" applyFill="1" applyBorder="1" applyAlignment="1">
      <alignment horizontal="right" vertical="center" wrapText="1"/>
    </xf>
    <xf numFmtId="0" fontId="19" fillId="36" borderId="10" xfId="0" applyFont="1" applyFill="1" applyBorder="1" applyAlignment="1">
      <alignment horizontal="left" vertical="center" wrapText="1"/>
    </xf>
    <xf numFmtId="0" fontId="19" fillId="36" borderId="11" xfId="0" applyFont="1" applyFill="1" applyBorder="1" applyAlignment="1">
      <alignment horizontal="left" vertical="center" wrapText="1"/>
    </xf>
    <xf numFmtId="0" fontId="19" fillId="36" borderId="15" xfId="0" applyFont="1" applyFill="1" applyBorder="1" applyAlignment="1">
      <alignment horizontal="left" vertical="center" wrapText="1"/>
    </xf>
    <xf numFmtId="0" fontId="19" fillId="36" borderId="12" xfId="0" applyFont="1" applyFill="1" applyBorder="1" applyAlignment="1">
      <alignment horizontal="left" vertical="center" wrapText="1"/>
    </xf>
    <xf numFmtId="0" fontId="19" fillId="36" borderId="0" xfId="0" applyFont="1" applyFill="1" applyAlignment="1">
      <alignment horizontal="left" vertical="center" wrapText="1"/>
    </xf>
    <xf numFmtId="0" fontId="19" fillId="36" borderId="36" xfId="0" applyFont="1" applyFill="1" applyBorder="1" applyAlignment="1">
      <alignment horizontal="left" vertical="center" wrapText="1"/>
    </xf>
    <xf numFmtId="11" fontId="20" fillId="37" borderId="36" xfId="0" applyNumberFormat="1" applyFont="1" applyFill="1" applyBorder="1" applyAlignment="1">
      <alignment horizontal="right" vertical="center" wrapText="1"/>
    </xf>
    <xf numFmtId="11" fontId="20" fillId="37" borderId="21" xfId="0" applyNumberFormat="1" applyFont="1" applyFill="1" applyBorder="1" applyAlignment="1">
      <alignment horizontal="right" vertical="center" wrapText="1"/>
    </xf>
    <xf numFmtId="11" fontId="20" fillId="37" borderId="37" xfId="0" applyNumberFormat="1" applyFont="1" applyFill="1" applyBorder="1" applyAlignment="1">
      <alignment horizontal="right" vertical="center" wrapText="1"/>
    </xf>
    <xf numFmtId="0" fontId="19" fillId="36" borderId="13" xfId="0" applyFont="1" applyFill="1" applyBorder="1" applyAlignment="1">
      <alignment horizontal="right" vertical="center" wrapText="1"/>
    </xf>
    <xf numFmtId="0" fontId="19" fillId="36" borderId="14" xfId="0" applyFont="1" applyFill="1" applyBorder="1" applyAlignment="1">
      <alignment horizontal="right" vertical="center" wrapText="1"/>
    </xf>
    <xf numFmtId="0" fontId="19" fillId="36" borderId="37" xfId="0" applyFont="1" applyFill="1" applyBorder="1" applyAlignment="1">
      <alignment horizontal="right" vertical="center" wrapText="1"/>
    </xf>
    <xf numFmtId="0" fontId="0" fillId="34" borderId="31" xfId="0" applyFill="1" applyBorder="1" applyAlignment="1">
      <alignment wrapText="1"/>
    </xf>
    <xf numFmtId="0" fontId="0" fillId="34" borderId="32" xfId="0" applyFill="1" applyBorder="1" applyAlignment="1">
      <alignment wrapText="1"/>
    </xf>
    <xf numFmtId="11" fontId="0" fillId="34" borderId="32" xfId="0" applyNumberFormat="1" applyFill="1" applyBorder="1" applyAlignment="1">
      <alignment wrapText="1"/>
    </xf>
    <xf numFmtId="0" fontId="0" fillId="34" borderId="19" xfId="0" applyFill="1" applyBorder="1" applyAlignment="1">
      <alignment wrapText="1"/>
    </xf>
    <xf numFmtId="2" fontId="0" fillId="34" borderId="19" xfId="0" applyNumberFormat="1" applyFill="1" applyBorder="1" applyAlignment="1">
      <alignment wrapText="1"/>
    </xf>
    <xf numFmtId="11" fontId="0" fillId="0" borderId="22" xfId="0" applyNumberFormat="1" applyBorder="1" applyAlignment="1">
      <alignment wrapText="1"/>
    </xf>
    <xf numFmtId="2" fontId="0" fillId="0" borderId="0" xfId="0" applyNumberFormat="1" applyAlignment="1">
      <alignment wrapText="1"/>
    </xf>
    <xf numFmtId="0" fontId="0" fillId="34" borderId="35" xfId="0" applyFill="1" applyBorder="1" applyAlignment="1">
      <alignment wrapText="1"/>
    </xf>
    <xf numFmtId="0" fontId="0" fillId="0" borderId="33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27" xfId="0" applyBorder="1" applyAlignment="1">
      <alignment wrapText="1"/>
    </xf>
    <xf numFmtId="11" fontId="0" fillId="0" borderId="28" xfId="0" applyNumberFormat="1" applyBorder="1" applyAlignment="1">
      <alignment wrapText="1"/>
    </xf>
    <xf numFmtId="0" fontId="0" fillId="0" borderId="29" xfId="0" applyBorder="1" applyAlignment="1">
      <alignment wrapText="1"/>
    </xf>
    <xf numFmtId="0" fontId="0" fillId="34" borderId="38" xfId="0" applyFill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8" fillId="4" borderId="42" xfId="8" applyBorder="1"/>
    <xf numFmtId="0" fontId="8" fillId="4" borderId="43" xfId="8" applyBorder="1"/>
    <xf numFmtId="0" fontId="0" fillId="0" borderId="43" xfId="0" applyBorder="1"/>
    <xf numFmtId="0" fontId="0" fillId="0" borderId="44" xfId="0" applyBorder="1"/>
    <xf numFmtId="2" fontId="0" fillId="34" borderId="18" xfId="0" applyNumberFormat="1" applyFill="1" applyBorder="1"/>
    <xf numFmtId="0" fontId="0" fillId="34" borderId="20" xfId="0" applyFill="1" applyBorder="1"/>
    <xf numFmtId="0" fontId="0" fillId="0" borderId="16" xfId="0" applyBorder="1"/>
    <xf numFmtId="0" fontId="0" fillId="0" borderId="20" xfId="0" applyBorder="1"/>
    <xf numFmtId="11" fontId="0" fillId="38" borderId="32" xfId="0" applyNumberFormat="1" applyFill="1" applyBorder="1"/>
    <xf numFmtId="0" fontId="0" fillId="38" borderId="20" xfId="0" applyFill="1" applyBorder="1"/>
    <xf numFmtId="0" fontId="0" fillId="38" borderId="18" xfId="0" applyFill="1" applyBorder="1"/>
    <xf numFmtId="2" fontId="0" fillId="38" borderId="19" xfId="0" applyNumberFormat="1" applyFill="1" applyBorder="1"/>
    <xf numFmtId="2" fontId="0" fillId="0" borderId="10" xfId="0" applyNumberFormat="1" applyBorder="1"/>
    <xf numFmtId="0" fontId="0" fillId="0" borderId="15" xfId="0" applyBorder="1"/>
    <xf numFmtId="0" fontId="8" fillId="4" borderId="26" xfId="8" applyBorder="1"/>
    <xf numFmtId="0" fontId="8" fillId="4" borderId="27" xfId="8" applyBorder="1"/>
    <xf numFmtId="0" fontId="8" fillId="4" borderId="28" xfId="8" applyBorder="1"/>
    <xf numFmtId="0" fontId="8" fillId="4" borderId="29" xfId="8" applyBorder="1"/>
    <xf numFmtId="2" fontId="0" fillId="0" borderId="13" xfId="0" applyNumberFormat="1" applyBorder="1"/>
    <xf numFmtId="0" fontId="0" fillId="0" borderId="17" xfId="0" applyBorder="1"/>
    <xf numFmtId="0" fontId="8" fillId="4" borderId="45" xfId="8" applyBorder="1"/>
    <xf numFmtId="11" fontId="8" fillId="4" borderId="30" xfId="8" applyNumberFormat="1" applyBorder="1"/>
    <xf numFmtId="11" fontId="8" fillId="4" borderId="46" xfId="8" applyNumberFormat="1" applyBorder="1"/>
    <xf numFmtId="0" fontId="0" fillId="0" borderId="45" xfId="0" applyBorder="1"/>
    <xf numFmtId="0" fontId="0" fillId="0" borderId="47" xfId="0" applyBorder="1"/>
    <xf numFmtId="0" fontId="0" fillId="39" borderId="18" xfId="0" applyFill="1" applyBorder="1" applyAlignment="1">
      <alignment wrapText="1"/>
    </xf>
    <xf numFmtId="0" fontId="0" fillId="39" borderId="19" xfId="0" applyFill="1" applyBorder="1"/>
    <xf numFmtId="2" fontId="0" fillId="39" borderId="19" xfId="0" applyNumberFormat="1" applyFill="1" applyBorder="1"/>
    <xf numFmtId="11" fontId="0" fillId="39" borderId="19" xfId="0" applyNumberFormat="1" applyFill="1" applyBorder="1"/>
    <xf numFmtId="0" fontId="0" fillId="34" borderId="48" xfId="0" applyFill="1" applyBorder="1"/>
    <xf numFmtId="0" fontId="0" fillId="38" borderId="48" xfId="0" applyFill="1" applyBorder="1"/>
    <xf numFmtId="0" fontId="0" fillId="0" borderId="48" xfId="0" applyBorder="1"/>
    <xf numFmtId="0" fontId="8" fillId="4" borderId="49" xfId="8" applyBorder="1"/>
    <xf numFmtId="0" fontId="8" fillId="4" borderId="50" xfId="8" applyBorder="1"/>
    <xf numFmtId="2" fontId="0" fillId="40" borderId="12" xfId="0" applyNumberFormat="1" applyFill="1" applyBorder="1"/>
    <xf numFmtId="2" fontId="0" fillId="41" borderId="12" xfId="0" applyNumberFormat="1" applyFill="1" applyBorder="1"/>
    <xf numFmtId="0" fontId="0" fillId="34" borderId="35" xfId="0" applyFill="1" applyBorder="1"/>
    <xf numFmtId="0" fontId="0" fillId="0" borderId="46" xfId="0" applyBorder="1"/>
    <xf numFmtId="0" fontId="0" fillId="0" borderId="34" xfId="0" applyBorder="1"/>
    <xf numFmtId="0" fontId="0" fillId="0" borderId="51" xfId="0" applyBorder="1"/>
    <xf numFmtId="0" fontId="0" fillId="0" borderId="50" xfId="0" applyBorder="1"/>
    <xf numFmtId="0" fontId="0" fillId="0" borderId="52" xfId="0" applyBorder="1"/>
    <xf numFmtId="0" fontId="21" fillId="4" borderId="45" xfId="8" applyFont="1" applyBorder="1"/>
    <xf numFmtId="0" fontId="21" fillId="4" borderId="53" xfId="8" applyFont="1" applyBorder="1"/>
    <xf numFmtId="0" fontId="21" fillId="4" borderId="24" xfId="8" applyFont="1" applyBorder="1"/>
    <xf numFmtId="0" fontId="21" fillId="4" borderId="25" xfId="8" applyFont="1" applyBorder="1"/>
    <xf numFmtId="0" fontId="21" fillId="4" borderId="55" xfId="8" applyFont="1" applyBorder="1"/>
    <xf numFmtId="0" fontId="21" fillId="4" borderId="26" xfId="8" applyFont="1" applyBorder="1"/>
    <xf numFmtId="0" fontId="21" fillId="4" borderId="50" xfId="8" applyFont="1" applyBorder="1"/>
    <xf numFmtId="0" fontId="21" fillId="4" borderId="33" xfId="8" applyFont="1" applyBorder="1"/>
    <xf numFmtId="0" fontId="21" fillId="4" borderId="22" xfId="8" applyFont="1" applyBorder="1"/>
    <xf numFmtId="0" fontId="21" fillId="4" borderId="40" xfId="8" applyFont="1" applyBorder="1"/>
    <xf numFmtId="0" fontId="21" fillId="4" borderId="34" xfId="8" applyFont="1" applyBorder="1"/>
    <xf numFmtId="0" fontId="21" fillId="41" borderId="40" xfId="8" applyFont="1" applyFill="1" applyBorder="1"/>
    <xf numFmtId="0" fontId="21" fillId="40" borderId="40" xfId="8" applyFont="1" applyFill="1" applyBorder="1"/>
    <xf numFmtId="0" fontId="21" fillId="0" borderId="33" xfId="0" applyFont="1" applyBorder="1"/>
    <xf numFmtId="0" fontId="21" fillId="0" borderId="22" xfId="0" applyFont="1" applyBorder="1"/>
    <xf numFmtId="0" fontId="21" fillId="0" borderId="40" xfId="0" applyFont="1" applyBorder="1"/>
    <xf numFmtId="2" fontId="21" fillId="0" borderId="12" xfId="0" applyNumberFormat="1" applyFont="1" applyBorder="1"/>
    <xf numFmtId="2" fontId="21" fillId="0" borderId="0" xfId="0" applyNumberFormat="1" applyFont="1"/>
    <xf numFmtId="0" fontId="21" fillId="0" borderId="16" xfId="0" applyFont="1" applyBorder="1"/>
    <xf numFmtId="0" fontId="21" fillId="0" borderId="21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54" xfId="0" applyFont="1" applyBorder="1"/>
    <xf numFmtId="2" fontId="21" fillId="0" borderId="13" xfId="0" applyNumberFormat="1" applyFont="1" applyBorder="1"/>
    <xf numFmtId="2" fontId="21" fillId="0" borderId="14" xfId="0" applyNumberFormat="1" applyFont="1" applyBorder="1"/>
    <xf numFmtId="0" fontId="21" fillId="0" borderId="17" xfId="0" applyFont="1" applyBorder="1"/>
    <xf numFmtId="0" fontId="21" fillId="0" borderId="37" xfId="0" applyFont="1" applyBorder="1"/>
    <xf numFmtId="0" fontId="0" fillId="39" borderId="44" xfId="0" applyFill="1" applyBorder="1" applyAlignment="1">
      <alignment wrapText="1"/>
    </xf>
    <xf numFmtId="0" fontId="0" fillId="39" borderId="56" xfId="0" applyFill="1" applyBorder="1"/>
    <xf numFmtId="0" fontId="0" fillId="0" borderId="56" xfId="0" applyBorder="1"/>
    <xf numFmtId="2" fontId="0" fillId="0" borderId="56" xfId="0" applyNumberFormat="1" applyBorder="1"/>
    <xf numFmtId="11" fontId="0" fillId="0" borderId="56" xfId="0" applyNumberFormat="1" applyBorder="1"/>
    <xf numFmtId="11" fontId="0" fillId="0" borderId="11" xfId="0" applyNumberFormat="1" applyBorder="1"/>
    <xf numFmtId="2" fontId="0" fillId="0" borderId="57" xfId="0" applyNumberFormat="1" applyBorder="1"/>
    <xf numFmtId="2" fontId="0" fillId="0" borderId="58" xfId="0" applyNumberFormat="1" applyBorder="1"/>
    <xf numFmtId="0" fontId="0" fillId="0" borderId="58" xfId="0" applyBorder="1"/>
    <xf numFmtId="0" fontId="19" fillId="37" borderId="10" xfId="0" applyFont="1" applyFill="1" applyBorder="1" applyAlignment="1">
      <alignment horizontal="right" vertical="top" wrapText="1"/>
    </xf>
    <xf numFmtId="0" fontId="19" fillId="37" borderId="12" xfId="0" applyFont="1" applyFill="1" applyBorder="1" applyAlignment="1">
      <alignment horizontal="right" vertical="top" wrapText="1"/>
    </xf>
    <xf numFmtId="0" fontId="19" fillId="37" borderId="13" xfId="0" applyFont="1" applyFill="1" applyBorder="1" applyAlignment="1">
      <alignment horizontal="right" vertical="top" wrapText="1"/>
    </xf>
    <xf numFmtId="0" fontId="19" fillId="37" borderId="11" xfId="0" applyFont="1" applyFill="1" applyBorder="1" applyAlignment="1">
      <alignment horizontal="right" vertical="top" wrapText="1"/>
    </xf>
    <xf numFmtId="0" fontId="19" fillId="37" borderId="0" xfId="0" applyFont="1" applyFill="1" applyAlignment="1">
      <alignment horizontal="right" vertical="top" wrapText="1"/>
    </xf>
    <xf numFmtId="0" fontId="19" fillId="37" borderId="14" xfId="0" applyFont="1" applyFill="1" applyBorder="1" applyAlignment="1">
      <alignment horizontal="right" vertical="top" wrapText="1"/>
    </xf>
    <xf numFmtId="0" fontId="19" fillId="36" borderId="11" xfId="0" applyFont="1" applyFill="1" applyBorder="1" applyAlignment="1">
      <alignment horizontal="right" vertical="top" wrapText="1"/>
    </xf>
    <xf numFmtId="0" fontId="19" fillId="36" borderId="0" xfId="0" applyFont="1" applyFill="1" applyAlignment="1">
      <alignment horizontal="right" vertical="top" wrapText="1"/>
    </xf>
    <xf numFmtId="0" fontId="19" fillId="36" borderId="14" xfId="0" applyFont="1" applyFill="1" applyBorder="1" applyAlignment="1">
      <alignment horizontal="right" vertical="top" wrapText="1"/>
    </xf>
    <xf numFmtId="0" fontId="19" fillId="36" borderId="10" xfId="0" applyFont="1" applyFill="1" applyBorder="1" applyAlignment="1">
      <alignment horizontal="left" vertical="center" wrapText="1"/>
    </xf>
    <xf numFmtId="0" fontId="19" fillId="36" borderId="11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DDDD"/>
      <color rgb="FFFE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tyles" Target="styles.xml"/><Relationship Id="rId18" Type="http://purl.oclc.org/ooxml/officeDocument/relationships/customXml" Target="../customXml/item3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theme" Target="theme/theme1.xml"/><Relationship Id="rId17" Type="http://purl.oclc.org/ooxml/officeDocument/relationships/customXml" Target="../customXml/item2.xml"/><Relationship Id="rId2" Type="http://purl.oclc.org/ooxml/officeDocument/relationships/worksheet" Target="worksheets/sheet2.xml"/><Relationship Id="rId16" Type="http://purl.oclc.org/ooxml/officeDocument/relationships/customXml" Target="../customXml/item1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calcChain" Target="calcChain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C811-1C75-466F-B948-AE1E03793BE1}">
  <dimension ref="A2:D17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20.6640625" customWidth="1"/>
    <col min="3" max="3" width="10.1640625" bestFit="1" customWidth="1"/>
    <col min="4" max="4" width="29.33203125" style="1" customWidth="1"/>
  </cols>
  <sheetData>
    <row r="2" spans="1:4" ht="16" x14ac:dyDescent="0.2">
      <c r="A2" t="s">
        <v>0</v>
      </c>
      <c r="B2" t="s">
        <v>1</v>
      </c>
      <c r="C2" t="s">
        <v>2</v>
      </c>
      <c r="D2" s="1" t="s">
        <v>3</v>
      </c>
    </row>
    <row r="3" spans="1:4" ht="16" x14ac:dyDescent="0.2">
      <c r="A3" t="s">
        <v>4</v>
      </c>
      <c r="B3" t="s">
        <v>5</v>
      </c>
      <c r="C3">
        <v>20241217</v>
      </c>
      <c r="D3" s="1" t="s">
        <v>6</v>
      </c>
    </row>
    <row r="4" spans="1:4" ht="32" x14ac:dyDescent="0.2">
      <c r="A4" t="s">
        <v>7</v>
      </c>
      <c r="B4" t="s">
        <v>5</v>
      </c>
      <c r="C4" s="72" t="d">
        <v>2025-03-20</v>
      </c>
      <c r="D4" s="1" t="s">
        <v>8</v>
      </c>
    </row>
    <row r="5" spans="1:4" ht="48" x14ac:dyDescent="0.2">
      <c r="C5" s="72" t="d">
        <v>2025-03-24</v>
      </c>
      <c r="D5" s="1" t="s">
        <v>9</v>
      </c>
    </row>
    <row r="6" spans="1:4" ht="32" x14ac:dyDescent="0.2">
      <c r="A6" t="s">
        <v>10</v>
      </c>
      <c r="B6" t="s">
        <v>5</v>
      </c>
      <c r="C6" s="72" t="d">
        <v>2025-03-27</v>
      </c>
      <c r="D6" s="1" t="s">
        <v>11</v>
      </c>
    </row>
    <row r="7" spans="1:4" ht="64" x14ac:dyDescent="0.2">
      <c r="B7" t="s">
        <v>5</v>
      </c>
      <c r="C7" s="72" t="d">
        <v>2025-04-07</v>
      </c>
      <c r="D7" s="1" t="s">
        <v>12</v>
      </c>
    </row>
    <row r="8" spans="1:4" ht="32" x14ac:dyDescent="0.2">
      <c r="B8" t="s">
        <v>5</v>
      </c>
      <c r="C8" s="72" t="d">
        <v>2025-04-08</v>
      </c>
      <c r="D8" s="1" t="s">
        <v>13</v>
      </c>
    </row>
    <row r="9" spans="1:4" ht="32" x14ac:dyDescent="0.2">
      <c r="A9" t="s">
        <v>14</v>
      </c>
      <c r="B9" t="s">
        <v>5</v>
      </c>
      <c r="C9" s="72" t="d">
        <v>2025-05-16</v>
      </c>
      <c r="D9" s="1" t="s">
        <v>15</v>
      </c>
    </row>
    <row r="10" spans="1:4" ht="16" x14ac:dyDescent="0.2">
      <c r="A10" t="s">
        <v>16</v>
      </c>
      <c r="B10" t="s">
        <v>5</v>
      </c>
      <c r="C10" s="72" t="d">
        <v>2026-01-22</v>
      </c>
      <c r="D10" s="1" t="s">
        <v>17</v>
      </c>
    </row>
    <row r="11" spans="1:4" ht="16" x14ac:dyDescent="0.2">
      <c r="B11" t="s">
        <v>5</v>
      </c>
      <c r="C11" s="72" t="d">
        <v>2026-01-28</v>
      </c>
      <c r="D11" s="1" t="s">
        <v>18</v>
      </c>
    </row>
    <row r="12" spans="1:4" ht="32" x14ac:dyDescent="0.2">
      <c r="B12" t="s">
        <v>5</v>
      </c>
      <c r="C12" s="72" t="d">
        <v>2026-01-29</v>
      </c>
      <c r="D12" s="1" t="s">
        <v>19</v>
      </c>
    </row>
    <row r="13" spans="1:4" ht="32" x14ac:dyDescent="0.2">
      <c r="A13" t="s">
        <v>20</v>
      </c>
      <c r="B13" t="s">
        <v>5</v>
      </c>
      <c r="C13" s="72" t="d">
        <v>2026-03-04</v>
      </c>
      <c r="D13" s="1" t="s">
        <v>21</v>
      </c>
    </row>
    <row r="14" spans="1:4" ht="32" x14ac:dyDescent="0.2">
      <c r="B14" t="s">
        <v>22</v>
      </c>
      <c r="C14" s="72" t="d">
        <v>2026-03-11</v>
      </c>
      <c r="D14" s="1" t="s">
        <v>23</v>
      </c>
    </row>
    <row r="15" spans="1:4" ht="48" x14ac:dyDescent="0.2">
      <c r="B15" t="s">
        <v>24</v>
      </c>
      <c r="C15" s="72" t="d">
        <v>2026-03-19</v>
      </c>
      <c r="D15" s="1" t="s">
        <v>25</v>
      </c>
    </row>
    <row r="16" spans="1:4" ht="48" x14ac:dyDescent="0.2">
      <c r="B16" t="s">
        <v>26</v>
      </c>
      <c r="C16" s="72" t="d">
        <v>2026-03-04</v>
      </c>
      <c r="D16" s="1" t="s">
        <v>27</v>
      </c>
    </row>
    <row r="17" spans="2:4" ht="32" x14ac:dyDescent="0.2">
      <c r="B17" t="s">
        <v>26</v>
      </c>
      <c r="C17" s="72" t="d">
        <v>2026-03-20</v>
      </c>
      <c r="D17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5A57-9C8A-45D9-AF2C-4B2FFE3F0982}">
  <dimension ref="A1:D7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20.33203125" customWidth="1"/>
    <col min="2" max="2" width="12.1640625" customWidth="1"/>
    <col min="3" max="3" width="15.5" style="1" customWidth="1"/>
    <col min="4" max="4" width="27.5" style="1" customWidth="1"/>
    <col min="5" max="5" width="18.6640625" customWidth="1"/>
  </cols>
  <sheetData>
    <row r="1" spans="1:4" s="32" customFormat="1" ht="17" thickBot="1" x14ac:dyDescent="0.25">
      <c r="A1" s="34" t="s">
        <v>29</v>
      </c>
      <c r="B1" s="35" t="s">
        <v>30</v>
      </c>
      <c r="C1" s="36" t="s">
        <v>31</v>
      </c>
      <c r="D1" s="36" t="s">
        <v>32</v>
      </c>
    </row>
    <row r="2" spans="1:4" ht="48" x14ac:dyDescent="0.2">
      <c r="A2" s="37" t="s">
        <v>33</v>
      </c>
      <c r="B2" s="37">
        <v>0.85</v>
      </c>
      <c r="C2" s="38" t="s">
        <v>34</v>
      </c>
      <c r="D2" s="38" t="s">
        <v>35</v>
      </c>
    </row>
    <row r="3" spans="1:4" ht="48" x14ac:dyDescent="0.2">
      <c r="A3" s="37" t="s">
        <v>36</v>
      </c>
      <c r="B3" s="37">
        <v>0.93630000000000002</v>
      </c>
      <c r="C3" s="38" t="s">
        <v>34</v>
      </c>
      <c r="D3" s="38" t="s">
        <v>37</v>
      </c>
    </row>
    <row r="4" spans="1:4" ht="48" x14ac:dyDescent="0.2">
      <c r="A4" s="37" t="s">
        <v>38</v>
      </c>
      <c r="B4" s="37">
        <v>0.68200000000000005</v>
      </c>
      <c r="C4" s="38" t="s">
        <v>39</v>
      </c>
      <c r="D4" s="38"/>
    </row>
    <row r="5" spans="1:4" ht="65" thickBot="1" x14ac:dyDescent="0.25">
      <c r="A5" s="39" t="s">
        <v>40</v>
      </c>
      <c r="B5" s="39">
        <f>1/0.96</f>
        <v>1.0416666666666667</v>
      </c>
      <c r="C5" s="40" t="s">
        <v>41</v>
      </c>
      <c r="D5" s="40" t="s">
        <v>42</v>
      </c>
    </row>
    <row r="6" spans="1:4" x14ac:dyDescent="0.2">
      <c r="A6" s="41"/>
      <c r="B6" s="42"/>
      <c r="C6" s="43"/>
      <c r="D6" s="44" t="s">
        <v>43</v>
      </c>
    </row>
    <row r="7" spans="1:4" ht="16" thickBot="1" x14ac:dyDescent="0.25">
      <c r="A7" s="45"/>
      <c r="B7" s="46"/>
      <c r="C7" s="47"/>
      <c r="D7" s="48">
        <f>PRODUCT(B2:B5)</f>
        <v>0.56538865625000012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A8B1-94A5-4611-A4F4-B5873A6C62AD}">
  <dimension ref="A1:L21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11.5" customWidth="1"/>
    <col min="2" max="2" width="12.6640625" customWidth="1"/>
    <col min="3" max="3" width="12" customWidth="1"/>
    <col min="4" max="4" width="14.5" customWidth="1"/>
    <col min="5" max="5" width="23.6640625" style="2" customWidth="1"/>
    <col min="6" max="6" width="13.83203125" style="2" customWidth="1"/>
    <col min="7" max="7" width="16.33203125" style="8" customWidth="1"/>
    <col min="8" max="8" width="12.6640625" style="83" customWidth="1"/>
    <col min="9" max="9" width="11.83203125" style="3" customWidth="1"/>
    <col min="10" max="10" width="18.6640625" style="3" customWidth="1"/>
    <col min="11" max="11" width="11.83203125" customWidth="1"/>
    <col min="12" max="12" width="16.83203125" style="140" customWidth="1"/>
  </cols>
  <sheetData>
    <row r="1" spans="1:12" s="32" customFormat="1" ht="16" thickBot="1" x14ac:dyDescent="0.25">
      <c r="A1" s="55" t="s">
        <v>44</v>
      </c>
      <c r="B1" s="56" t="s">
        <v>45</v>
      </c>
      <c r="C1" s="56" t="s">
        <v>46</v>
      </c>
      <c r="D1" s="56" t="s">
        <v>47</v>
      </c>
      <c r="E1" s="57" t="s">
        <v>48</v>
      </c>
      <c r="F1" s="57"/>
      <c r="G1" s="130"/>
      <c r="H1" s="138"/>
      <c r="I1" s="33"/>
      <c r="J1" s="33"/>
      <c r="L1" s="139"/>
    </row>
    <row r="2" spans="1:12" x14ac:dyDescent="0.2">
      <c r="A2" s="53" t="s">
        <v>49</v>
      </c>
      <c r="B2" s="53">
        <v>0.25</v>
      </c>
      <c r="C2" s="53" t="s">
        <v>50</v>
      </c>
      <c r="D2" s="53" t="s">
        <v>51</v>
      </c>
      <c r="E2" s="54"/>
      <c r="F2" s="54"/>
      <c r="G2" s="131"/>
    </row>
    <row r="3" spans="1:12" x14ac:dyDescent="0.2">
      <c r="A3" s="37" t="s">
        <v>52</v>
      </c>
      <c r="B3" s="37">
        <v>2.1800000000000002</v>
      </c>
      <c r="C3" s="37" t="s">
        <v>53</v>
      </c>
      <c r="D3" s="37" t="s">
        <v>54</v>
      </c>
      <c r="E3" s="49"/>
      <c r="F3" s="49"/>
      <c r="G3" s="132"/>
    </row>
    <row r="4" spans="1:12" x14ac:dyDescent="0.2">
      <c r="A4" s="37" t="s">
        <v>55</v>
      </c>
      <c r="B4" s="37">
        <f>GridsAndSpokes!D7</f>
        <v>0.56538865625000012</v>
      </c>
      <c r="C4" s="37" t="s">
        <v>56</v>
      </c>
      <c r="D4" s="37"/>
      <c r="E4" s="49"/>
      <c r="F4" s="49"/>
      <c r="G4" s="132"/>
    </row>
    <row r="5" spans="1:12" ht="16" thickBot="1" x14ac:dyDescent="0.25">
      <c r="A5" s="39"/>
      <c r="B5" s="39"/>
      <c r="C5" s="39"/>
      <c r="D5" s="39"/>
      <c r="E5" s="52"/>
      <c r="F5" s="52"/>
      <c r="G5" s="133"/>
      <c r="H5" s="83" t="s">
        <v>57</v>
      </c>
    </row>
    <row r="6" spans="1:12" s="32" customFormat="1" ht="16" thickBot="1" x14ac:dyDescent="0.25">
      <c r="A6" s="55" t="str">
        <f>H_KE_Response_vals!A3</f>
        <v>E_mode</v>
      </c>
      <c r="B6" s="56" t="str">
        <f>H_KE_Response_vals!B3</f>
        <v>estep</v>
      </c>
      <c r="C6" s="56" t="str">
        <f>H_KE_Response_vals!C3</f>
        <v xml:space="preserve">scale_fact </v>
      </c>
      <c r="D6" s="56" t="str">
        <f>H_KE_Response_vals!F3</f>
        <v>de_e</v>
      </c>
      <c r="E6" s="142" t="str">
        <f>H_KE_Response_vals!H3</f>
        <v>Effic_ESA-CS Mean |FWHM|</v>
      </c>
      <c r="F6" s="57" t="s">
        <v>58</v>
      </c>
      <c r="G6" s="130" t="s">
        <v>32</v>
      </c>
      <c r="H6" s="144" t="s">
        <v>59</v>
      </c>
      <c r="I6" s="145" t="s">
        <v>60</v>
      </c>
      <c r="J6" s="145" t="s">
        <v>61</v>
      </c>
      <c r="K6" s="145" t="s">
        <v>62</v>
      </c>
      <c r="L6" s="143" t="s">
        <v>63</v>
      </c>
    </row>
    <row r="7" spans="1:12" s="15" customFormat="1" ht="16" thickBot="1" x14ac:dyDescent="0.25">
      <c r="A7" s="58"/>
      <c r="B7" s="59"/>
      <c r="C7" s="59" t="s">
        <v>64</v>
      </c>
      <c r="D7" s="59" t="s">
        <v>65</v>
      </c>
      <c r="E7" s="60" t="s">
        <v>56</v>
      </c>
      <c r="F7" s="71" t="s">
        <v>66</v>
      </c>
      <c r="H7" s="146"/>
      <c r="I7" s="79"/>
      <c r="J7" s="79"/>
      <c r="K7" s="6"/>
      <c r="L7" s="147"/>
    </row>
    <row r="8" spans="1:12" x14ac:dyDescent="0.2">
      <c r="A8" s="61" t="str">
        <f>H_KE_Response_vals!A4</f>
        <v>HiRes</v>
      </c>
      <c r="B8" s="62">
        <f>H_KE_Response_vals!B4</f>
        <v>1</v>
      </c>
      <c r="C8" s="62">
        <f>H_KE_Response_vals!C4</f>
        <v>3.4700000000000002E-2</v>
      </c>
      <c r="D8" s="62">
        <f>H_KE_Response_vals!F4</f>
        <v>0.66043726279082304</v>
      </c>
      <c r="E8" s="63">
        <f>H_KE_Response_vals!H4</f>
        <v>3.1394020918982499E-4</v>
      </c>
      <c r="F8" s="64">
        <f>E8*D8*$B$2*$B$3*$B$4</f>
        <v>6.3888413704240064E-5</v>
      </c>
      <c r="G8" s="134" t="s">
        <v>67</v>
      </c>
      <c r="H8" s="61"/>
      <c r="I8" s="62"/>
      <c r="J8" s="62"/>
      <c r="K8" s="62"/>
      <c r="L8" s="148"/>
    </row>
    <row r="9" spans="1:12" ht="16" thickBot="1" x14ac:dyDescent="0.25">
      <c r="A9" s="65" t="str">
        <f>H_KE_Response_vals!A5</f>
        <v>HiRes</v>
      </c>
      <c r="B9" s="50">
        <f>H_KE_Response_vals!B5</f>
        <v>2</v>
      </c>
      <c r="C9" s="50">
        <f>H_KE_Response_vals!C5</f>
        <v>6.7000000000000004E-2</v>
      </c>
      <c r="D9" s="50">
        <f>H_KE_Response_vals!F5</f>
        <v>0.66027446976731696</v>
      </c>
      <c r="E9" s="51">
        <f>H_KE_Response_vals!H5</f>
        <v>3.53997260976046E-4</v>
      </c>
      <c r="F9" s="66">
        <f t="shared" ref="F9:F21" si="0">E9*D9*$B$2*$B$3*$B$4</f>
        <v>7.2022468090621056E-5</v>
      </c>
      <c r="G9" s="135" t="s">
        <v>67</v>
      </c>
      <c r="H9" s="149"/>
      <c r="I9" s="150"/>
      <c r="J9" s="150"/>
      <c r="K9" s="150"/>
      <c r="L9" s="151"/>
    </row>
    <row r="10" spans="1:12" x14ac:dyDescent="0.2">
      <c r="A10" s="67" t="str">
        <f>H_KE_Response_vals!A6</f>
        <v>HiRes</v>
      </c>
      <c r="B10" s="37">
        <f>H_KE_Response_vals!B6</f>
        <v>3</v>
      </c>
      <c r="C10" s="37">
        <f>H_KE_Response_vals!C6</f>
        <v>0.12870000000000001</v>
      </c>
      <c r="D10" s="37">
        <f>H_KE_Response_vals!F6</f>
        <v>0.68088751576817497</v>
      </c>
      <c r="E10" s="49">
        <f>H_KE_Response_vals!H6</f>
        <v>4.1824047980878798E-4</v>
      </c>
      <c r="F10" s="68">
        <f t="shared" si="0"/>
        <v>8.7749576367460381E-5</v>
      </c>
      <c r="G10" s="136"/>
      <c r="H10" s="83">
        <v>0.38655699999999998</v>
      </c>
      <c r="I10" s="3">
        <v>0.57735000000000003</v>
      </c>
      <c r="J10" s="3">
        <v>4.2133999999999998E-2</v>
      </c>
      <c r="K10">
        <v>6.2363000000000002E-2</v>
      </c>
      <c r="L10" s="140">
        <v>0.69887299999999997</v>
      </c>
    </row>
    <row r="11" spans="1:12" x14ac:dyDescent="0.2">
      <c r="A11" s="67" t="str">
        <f>H_KE_Response_vals!A7</f>
        <v>HiRes</v>
      </c>
      <c r="B11" s="37">
        <f>H_KE_Response_vals!B7</f>
        <v>4</v>
      </c>
      <c r="C11" s="37">
        <f>H_KE_Response_vals!C7</f>
        <v>0.25330000000000003</v>
      </c>
      <c r="D11" s="37">
        <f>H_KE_Response_vals!F7</f>
        <v>0.65231836463790305</v>
      </c>
      <c r="E11" s="49">
        <f>H_KE_Response_vals!H7</f>
        <v>5.0757987441797301E-4</v>
      </c>
      <c r="F11" s="68">
        <f t="shared" si="0"/>
        <v>1.0202523229845907E-4</v>
      </c>
      <c r="G11" s="136"/>
      <c r="H11" s="83">
        <v>0.26979799999999998</v>
      </c>
      <c r="I11" s="3">
        <v>2.0049999999999998E-2</v>
      </c>
      <c r="J11" s="3">
        <v>4.2133999999999998E-2</v>
      </c>
      <c r="K11">
        <v>1.537E-2</v>
      </c>
      <c r="L11" s="140">
        <v>0.27423500000000001</v>
      </c>
    </row>
    <row r="12" spans="1:12" x14ac:dyDescent="0.2">
      <c r="A12" s="67" t="str">
        <f>H_KE_Response_vals!A8</f>
        <v>HiRes</v>
      </c>
      <c r="B12" s="37">
        <f>H_KE_Response_vals!B8</f>
        <v>5</v>
      </c>
      <c r="C12" s="37">
        <f>H_KE_Response_vals!C8</f>
        <v>0.4884</v>
      </c>
      <c r="D12" s="37">
        <f>H_KE_Response_vals!F8</f>
        <v>0.65036334480741897</v>
      </c>
      <c r="E12" s="49">
        <f>H_KE_Response_vals!H8</f>
        <v>6.35973367324361E-4</v>
      </c>
      <c r="F12" s="68">
        <f t="shared" si="0"/>
        <v>1.2744962971161376E-4</v>
      </c>
      <c r="G12" s="136"/>
      <c r="H12" s="83">
        <v>0.30760900000000002</v>
      </c>
      <c r="I12" s="3">
        <v>1.6777E-2</v>
      </c>
      <c r="J12" s="3">
        <v>4.2133999999999998E-2</v>
      </c>
      <c r="K12">
        <v>9.4491000000000006E-2</v>
      </c>
      <c r="L12" s="140">
        <v>0.32497399999999999</v>
      </c>
    </row>
    <row r="13" spans="1:12" x14ac:dyDescent="0.2">
      <c r="A13" s="67" t="str">
        <f>H_KE_Response_vals!A9</f>
        <v>HiRes</v>
      </c>
      <c r="B13" s="37">
        <f>H_KE_Response_vals!B9</f>
        <v>6</v>
      </c>
      <c r="C13" s="37">
        <f>H_KE_Response_vals!C9</f>
        <v>1</v>
      </c>
      <c r="D13" s="37">
        <f>H_KE_Response_vals!F9</f>
        <v>0.67176580647093298</v>
      </c>
      <c r="E13" s="49">
        <f>H_KE_Response_vals!H9</f>
        <v>7.7669343852835595E-4</v>
      </c>
      <c r="F13" s="68">
        <f t="shared" si="0"/>
        <v>1.6077226243294522E-4</v>
      </c>
      <c r="G13" s="136"/>
      <c r="H13" s="83">
        <v>0.105297</v>
      </c>
      <c r="I13" s="3">
        <v>5.0600000000000005E-4</v>
      </c>
      <c r="J13" s="3">
        <v>4.2133999999999998E-2</v>
      </c>
      <c r="K13">
        <v>1.3717999999999999E-2</v>
      </c>
      <c r="L13" s="140">
        <v>0.114241</v>
      </c>
    </row>
    <row r="14" spans="1:12" ht="16" thickBot="1" x14ac:dyDescent="0.25">
      <c r="A14" s="67" t="str">
        <f>H_KE_Response_vals!A10</f>
        <v>HiRes</v>
      </c>
      <c r="B14" s="37">
        <f>H_KE_Response_vals!B10</f>
        <v>7</v>
      </c>
      <c r="C14" s="37">
        <f>H_KE_Response_vals!C10</f>
        <v>1.9378</v>
      </c>
      <c r="D14" s="37">
        <f>H_KE_Response_vals!F10</f>
        <v>0.717792995072144</v>
      </c>
      <c r="E14" s="49">
        <f>H_KE_Response_vals!H10</f>
        <v>9.2198622387187803E-4</v>
      </c>
      <c r="F14" s="68">
        <f t="shared" si="0"/>
        <v>2.0392348321430099E-4</v>
      </c>
      <c r="G14" s="136"/>
      <c r="H14" s="83">
        <v>4.1882000000000003E-2</v>
      </c>
      <c r="I14" s="3">
        <v>1.248E-3</v>
      </c>
      <c r="J14" s="3">
        <v>4.2133999999999998E-2</v>
      </c>
      <c r="K14">
        <v>2.2383E-2</v>
      </c>
      <c r="L14" s="140">
        <v>6.3497999999999999E-2</v>
      </c>
    </row>
    <row r="15" spans="1:12" x14ac:dyDescent="0.2">
      <c r="A15" s="65" t="str">
        <f>H_KE_Response_vals!A11</f>
        <v>HiTh</v>
      </c>
      <c r="B15" s="50">
        <f>H_KE_Response_vals!B11</f>
        <v>1</v>
      </c>
      <c r="C15" s="50">
        <f>H_KE_Response_vals!C11</f>
        <v>3.4700000000000002E-2</v>
      </c>
      <c r="D15" s="50">
        <f>H_KE_Response_vals!F11</f>
        <v>1.03133121416019</v>
      </c>
      <c r="E15" s="51">
        <f>H_KE_Response_vals!H11</f>
        <v>4.7571000469330402E-4</v>
      </c>
      <c r="F15" s="66">
        <f t="shared" si="0"/>
        <v>1.5117641436888655E-4</v>
      </c>
      <c r="G15" s="135" t="s">
        <v>67</v>
      </c>
      <c r="H15" s="61"/>
      <c r="I15" s="62"/>
      <c r="J15" s="62"/>
      <c r="K15" s="62"/>
      <c r="L15" s="148"/>
    </row>
    <row r="16" spans="1:12" ht="16" thickBot="1" x14ac:dyDescent="0.25">
      <c r="A16" s="65" t="str">
        <f>H_KE_Response_vals!A12</f>
        <v>HiTh</v>
      </c>
      <c r="B16" s="50">
        <f>H_KE_Response_vals!B12</f>
        <v>2</v>
      </c>
      <c r="C16" s="50">
        <f>H_KE_Response_vals!C12</f>
        <v>6.7000000000000004E-2</v>
      </c>
      <c r="D16" s="50">
        <f>H_KE_Response_vals!F12</f>
        <v>0.99996676077090896</v>
      </c>
      <c r="E16" s="51">
        <f>H_KE_Response_vals!H12</f>
        <v>5.6522706228306603E-4</v>
      </c>
      <c r="F16" s="66">
        <f t="shared" si="0"/>
        <v>1.7416147903936635E-4</v>
      </c>
      <c r="G16" s="135" t="s">
        <v>67</v>
      </c>
      <c r="H16" s="149"/>
      <c r="I16" s="150"/>
      <c r="J16" s="150"/>
      <c r="K16" s="150"/>
      <c r="L16" s="151"/>
    </row>
    <row r="17" spans="1:12" x14ac:dyDescent="0.2">
      <c r="A17" s="67" t="str">
        <f>H_KE_Response_vals!A13</f>
        <v>HiTh</v>
      </c>
      <c r="B17" s="37">
        <f>H_KE_Response_vals!B13</f>
        <v>3</v>
      </c>
      <c r="C17" s="37">
        <f>H_KE_Response_vals!C13</f>
        <v>0.12870000000000001</v>
      </c>
      <c r="D17" s="37">
        <f>H_KE_Response_vals!F13</f>
        <v>0.96132318192856603</v>
      </c>
      <c r="E17" s="49">
        <f>H_KE_Response_vals!H13</f>
        <v>6.9590846070464204E-4</v>
      </c>
      <c r="F17" s="68">
        <f t="shared" si="0"/>
        <v>2.0614135426440456E-4</v>
      </c>
      <c r="G17" s="136"/>
      <c r="H17" s="83">
        <v>0.17497499999999999</v>
      </c>
      <c r="I17" s="3">
        <v>0.57735000000000003</v>
      </c>
      <c r="J17" s="3">
        <v>4.2133999999999998E-2</v>
      </c>
      <c r="K17">
        <v>4.4544E-2</v>
      </c>
      <c r="L17" s="140">
        <v>0.60638999999999998</v>
      </c>
    </row>
    <row r="18" spans="1:12" x14ac:dyDescent="0.2">
      <c r="A18" s="67" t="str">
        <f>H_KE_Response_vals!A14</f>
        <v>HiTh</v>
      </c>
      <c r="B18" s="37">
        <f>H_KE_Response_vals!B14</f>
        <v>4</v>
      </c>
      <c r="C18" s="37">
        <f>H_KE_Response_vals!C14</f>
        <v>0.25330000000000003</v>
      </c>
      <c r="D18" s="37">
        <f>H_KE_Response_vals!F14</f>
        <v>0.935456862347123</v>
      </c>
      <c r="E18" s="49">
        <f>H_KE_Response_vals!H14</f>
        <v>8.60887221349876E-4</v>
      </c>
      <c r="F18" s="68">
        <f t="shared" si="0"/>
        <v>2.4814962293303781E-4</v>
      </c>
      <c r="G18" s="136"/>
      <c r="H18" s="83">
        <v>0.35616300000000001</v>
      </c>
      <c r="I18" s="3">
        <v>2.0049999999999998E-2</v>
      </c>
      <c r="J18" s="3">
        <v>4.2133999999999998E-2</v>
      </c>
      <c r="K18">
        <v>1.0917E-2</v>
      </c>
      <c r="L18" s="140">
        <v>0.35937200000000002</v>
      </c>
    </row>
    <row r="19" spans="1:12" x14ac:dyDescent="0.2">
      <c r="A19" s="67" t="str">
        <f>H_KE_Response_vals!A15</f>
        <v>HiTh</v>
      </c>
      <c r="B19" s="37">
        <f>H_KE_Response_vals!B15</f>
        <v>5</v>
      </c>
      <c r="C19" s="37">
        <f>H_KE_Response_vals!C15</f>
        <v>0.4884</v>
      </c>
      <c r="D19" s="37">
        <f>H_KE_Response_vals!F15</f>
        <v>0.99142872461398701</v>
      </c>
      <c r="E19" s="49">
        <f>H_KE_Response_vals!H15</f>
        <v>1.00479166785042E-3</v>
      </c>
      <c r="F19" s="68">
        <f t="shared" si="0"/>
        <v>3.0695952602199645E-4</v>
      </c>
      <c r="G19" s="136"/>
      <c r="H19" s="83">
        <v>0.27263799999999999</v>
      </c>
      <c r="I19" s="3">
        <v>1.6777E-2</v>
      </c>
      <c r="J19" s="3">
        <v>4.2133999999999998E-2</v>
      </c>
      <c r="K19">
        <v>5.9235000000000003E-2</v>
      </c>
      <c r="L19" s="140">
        <v>0.28266000000000002</v>
      </c>
    </row>
    <row r="20" spans="1:12" x14ac:dyDescent="0.2">
      <c r="A20" s="67" t="str">
        <f>H_KE_Response_vals!A16</f>
        <v>HiTh</v>
      </c>
      <c r="B20" s="37">
        <f>H_KE_Response_vals!B16</f>
        <v>6</v>
      </c>
      <c r="C20" s="37">
        <f>H_KE_Response_vals!C16</f>
        <v>1</v>
      </c>
      <c r="D20" s="37">
        <f>H_KE_Response_vals!F16</f>
        <v>1.00704685928437</v>
      </c>
      <c r="E20" s="49">
        <f>H_KE_Response_vals!H16</f>
        <v>1.3007537648940201E-3</v>
      </c>
      <c r="F20" s="68">
        <f t="shared" si="0"/>
        <v>4.0363457822416835E-4</v>
      </c>
      <c r="G20" s="136"/>
      <c r="H20" s="83">
        <v>0.10326299999999999</v>
      </c>
      <c r="I20" s="3">
        <v>5.0600000000000005E-4</v>
      </c>
      <c r="J20" s="3">
        <v>4.2133999999999998E-2</v>
      </c>
      <c r="K20">
        <v>1.0284E-2</v>
      </c>
      <c r="L20" s="140">
        <v>0.11200300000000001</v>
      </c>
    </row>
    <row r="21" spans="1:12" ht="16" thickBot="1" x14ac:dyDescent="0.25">
      <c r="A21" s="45" t="str">
        <f>H_KE_Response_vals!A17</f>
        <v>HiTh</v>
      </c>
      <c r="B21" s="46">
        <f>H_KE_Response_vals!B17</f>
        <v>7</v>
      </c>
      <c r="C21" s="46">
        <f>H_KE_Response_vals!C17</f>
        <v>1.9378</v>
      </c>
      <c r="D21" s="46">
        <f>H_KE_Response_vals!F17</f>
        <v>1.0139865654886</v>
      </c>
      <c r="E21" s="69">
        <f>H_KE_Response_vals!H17</f>
        <v>1.65445088749486E-3</v>
      </c>
      <c r="F21" s="70">
        <f t="shared" si="0"/>
        <v>5.1692754380468448E-4</v>
      </c>
      <c r="G21" s="137"/>
      <c r="H21" s="152">
        <v>3.2894E-2</v>
      </c>
      <c r="I21" s="26">
        <v>1.248E-3</v>
      </c>
      <c r="J21" s="26">
        <v>4.2133999999999998E-2</v>
      </c>
      <c r="K21" s="10">
        <v>1.2751999999999999E-2</v>
      </c>
      <c r="L21" s="153">
        <v>5.4968000000000003E-2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468C-DA3C-4761-BA12-E25923AC4A15}">
  <dimension ref="A1:L46"/>
  <sheetViews>
    <sheetView workbookViewId="0">
      <selection activeCell="D51" sqref="D51"/>
    </sheetView>
  </sheetViews>
  <sheetFormatPr baseColWidth="10" defaultColWidth="8.83203125" defaultRowHeight="15" x14ac:dyDescent="0.2"/>
  <cols>
    <col min="1" max="1" width="17" style="1" customWidth="1"/>
    <col min="3" max="3" width="15.33203125" customWidth="1"/>
    <col min="4" max="4" width="16.6640625" style="3" customWidth="1"/>
    <col min="5" max="5" width="21.33203125" style="3" customWidth="1"/>
    <col min="6" max="6" width="17.1640625" style="3" customWidth="1"/>
    <col min="7" max="7" width="18.83203125" style="2" customWidth="1"/>
    <col min="8" max="8" width="25" style="2" customWidth="1"/>
    <col min="9" max="9" width="76" customWidth="1"/>
    <col min="10" max="10" width="44" customWidth="1"/>
    <col min="11" max="11" width="22" customWidth="1"/>
  </cols>
  <sheetData>
    <row r="1" spans="1:12" ht="16" x14ac:dyDescent="0.2">
      <c r="A1" s="1" t="s">
        <v>68</v>
      </c>
      <c r="B1" t="s">
        <v>69</v>
      </c>
    </row>
    <row r="2" spans="1:12" ht="17" thickBot="1" x14ac:dyDescent="0.25">
      <c r="A2" s="1" t="s">
        <v>70</v>
      </c>
      <c r="B2" t="s">
        <v>71</v>
      </c>
    </row>
    <row r="3" spans="1:12" s="160" customFormat="1" ht="17" thickBot="1" x14ac:dyDescent="0.25">
      <c r="A3" s="159" t="s">
        <v>72</v>
      </c>
      <c r="B3" s="160" t="s">
        <v>73</v>
      </c>
      <c r="C3" s="160" t="s">
        <v>74</v>
      </c>
      <c r="D3" s="161" t="s">
        <v>75</v>
      </c>
      <c r="E3" s="161" t="s">
        <v>76</v>
      </c>
      <c r="F3" s="161" t="s">
        <v>77</v>
      </c>
      <c r="G3" s="162" t="s">
        <v>78</v>
      </c>
      <c r="H3" s="162" t="s">
        <v>79</v>
      </c>
      <c r="I3" s="160" t="s">
        <v>80</v>
      </c>
      <c r="J3" s="160" t="s">
        <v>81</v>
      </c>
      <c r="K3" s="160" t="s">
        <v>82</v>
      </c>
      <c r="L3" s="160" t="s">
        <v>83</v>
      </c>
    </row>
    <row r="4" spans="1:12" ht="16" x14ac:dyDescent="0.2">
      <c r="A4" s="21" t="s">
        <v>84</v>
      </c>
      <c r="B4">
        <v>1</v>
      </c>
      <c r="C4">
        <v>3.4700000000000002E-2</v>
      </c>
      <c r="D4" s="76">
        <v>19.192096656731898</v>
      </c>
      <c r="E4" s="76">
        <v>20.560680974473598</v>
      </c>
      <c r="F4" s="76">
        <v>1.07130978663874</v>
      </c>
      <c r="G4" s="2">
        <v>1.0138814186952399E-4</v>
      </c>
      <c r="H4" s="2">
        <v>7.8548965833154794E-5</v>
      </c>
      <c r="I4" t="s">
        <v>85</v>
      </c>
      <c r="J4" t="s">
        <v>86</v>
      </c>
      <c r="K4">
        <v>11.337747667124001</v>
      </c>
      <c r="L4">
        <f t="shared" ref="L4:L17" si="0">K4/D4</f>
        <v>0.59075086322823023</v>
      </c>
    </row>
    <row r="5" spans="1:12" ht="16" x14ac:dyDescent="0.2">
      <c r="A5" s="21" t="s">
        <v>84</v>
      </c>
      <c r="B5">
        <v>2</v>
      </c>
      <c r="C5">
        <v>6.7000000000000004E-2</v>
      </c>
      <c r="D5" s="76">
        <v>36.753141721612202</v>
      </c>
      <c r="E5" s="76">
        <v>35.680106604979599</v>
      </c>
      <c r="F5" s="76">
        <v>0.97080426144898302</v>
      </c>
      <c r="G5" s="2">
        <v>1.7874030789074099E-4</v>
      </c>
      <c r="H5" s="2">
        <v>1.3945174154359101E-4</v>
      </c>
      <c r="I5" t="s">
        <v>87</v>
      </c>
      <c r="J5" t="s">
        <v>88</v>
      </c>
      <c r="K5">
        <v>21.6051109590836</v>
      </c>
      <c r="L5">
        <f t="shared" si="0"/>
        <v>0.58784392155457554</v>
      </c>
    </row>
    <row r="6" spans="1:12" ht="16" x14ac:dyDescent="0.2">
      <c r="A6" s="21" t="s">
        <v>84</v>
      </c>
      <c r="B6">
        <v>3</v>
      </c>
      <c r="C6">
        <v>0.12870000000000001</v>
      </c>
      <c r="D6" s="76">
        <v>71.209442690554994</v>
      </c>
      <c r="E6" s="76">
        <v>71.680714735024296</v>
      </c>
      <c r="F6" s="76">
        <v>1.00661811168101</v>
      </c>
      <c r="G6" s="2">
        <v>2.90148122475807E-4</v>
      </c>
      <c r="H6" s="2">
        <v>2.2584742661159701E-4</v>
      </c>
      <c r="I6" t="s">
        <v>89</v>
      </c>
      <c r="J6" t="s">
        <v>90</v>
      </c>
      <c r="K6">
        <v>40.908563969994198</v>
      </c>
      <c r="L6">
        <f t="shared" si="0"/>
        <v>0.57448229370035764</v>
      </c>
    </row>
    <row r="7" spans="1:12" ht="16" x14ac:dyDescent="0.2">
      <c r="A7" s="21" t="s">
        <v>84</v>
      </c>
      <c r="B7">
        <v>4</v>
      </c>
      <c r="C7">
        <v>0.25330000000000003</v>
      </c>
      <c r="D7" s="3">
        <v>141.41338871677499</v>
      </c>
      <c r="E7" s="76">
        <v>147.077663746816</v>
      </c>
      <c r="F7" s="76">
        <v>1.0400547294809801</v>
      </c>
      <c r="G7" s="2">
        <v>4.5435915919011301E-4</v>
      </c>
      <c r="H7" s="2">
        <v>3.52770960935085E-4</v>
      </c>
      <c r="I7" t="s">
        <v>91</v>
      </c>
      <c r="J7" t="s">
        <v>92</v>
      </c>
      <c r="K7">
        <v>81.620316258526202</v>
      </c>
      <c r="L7">
        <f t="shared" si="0"/>
        <v>0.57717530849923049</v>
      </c>
    </row>
    <row r="8" spans="1:12" ht="16" x14ac:dyDescent="0.2">
      <c r="A8" s="21" t="s">
        <v>84</v>
      </c>
      <c r="B8">
        <v>5</v>
      </c>
      <c r="C8">
        <v>0.4884</v>
      </c>
      <c r="D8" s="76">
        <v>273.99565656807999</v>
      </c>
      <c r="E8" s="76">
        <v>297.01241409693102</v>
      </c>
      <c r="F8" s="76">
        <v>1.08400409633184</v>
      </c>
      <c r="G8" s="2">
        <v>6.6887545745035503E-4</v>
      </c>
      <c r="H8" s="2">
        <v>5.1762006917347803E-4</v>
      </c>
      <c r="I8" t="s">
        <v>93</v>
      </c>
      <c r="J8" t="s">
        <v>94</v>
      </c>
      <c r="K8">
        <v>155.61623190543401</v>
      </c>
      <c r="L8">
        <f t="shared" si="0"/>
        <v>0.56795145534275238</v>
      </c>
    </row>
    <row r="9" spans="1:12" ht="16" x14ac:dyDescent="0.2">
      <c r="A9" s="21" t="s">
        <v>84</v>
      </c>
      <c r="B9">
        <v>6</v>
      </c>
      <c r="C9">
        <v>1</v>
      </c>
      <c r="D9" s="76">
        <v>585.02930370168701</v>
      </c>
      <c r="E9" s="76">
        <v>702.28640696304103</v>
      </c>
      <c r="F9" s="76">
        <v>1.2004294528828301</v>
      </c>
      <c r="G9" s="2">
        <v>1.1364384498461901E-3</v>
      </c>
      <c r="H9" s="2">
        <v>8.7118478717481296E-4</v>
      </c>
      <c r="I9" t="s">
        <v>95</v>
      </c>
      <c r="J9" t="s">
        <v>96</v>
      </c>
      <c r="K9">
        <v>320.14235191964099</v>
      </c>
      <c r="L9">
        <f t="shared" si="0"/>
        <v>0.54722447216573133</v>
      </c>
    </row>
    <row r="10" spans="1:12" ht="16" x14ac:dyDescent="0.2">
      <c r="A10" s="21" t="s">
        <v>84</v>
      </c>
      <c r="B10">
        <v>7</v>
      </c>
      <c r="C10">
        <v>1.9378</v>
      </c>
      <c r="D10" s="76">
        <v>1135.0641988436601</v>
      </c>
      <c r="E10" s="76">
        <v>1344.39839067103</v>
      </c>
      <c r="F10" s="76">
        <v>1.18442497969773</v>
      </c>
      <c r="G10" s="2">
        <v>1.7827455426743799E-3</v>
      </c>
      <c r="H10" s="2">
        <v>1.36817724184701E-3</v>
      </c>
      <c r="I10" t="s">
        <v>97</v>
      </c>
      <c r="J10" t="s">
        <v>98</v>
      </c>
      <c r="K10">
        <v>618.72327340115703</v>
      </c>
      <c r="L10">
        <f t="shared" si="0"/>
        <v>0.54509980495506571</v>
      </c>
    </row>
    <row r="11" spans="1:12" ht="16" x14ac:dyDescent="0.2">
      <c r="A11" s="21" t="s">
        <v>99</v>
      </c>
      <c r="B11">
        <v>1</v>
      </c>
      <c r="C11">
        <v>3.4700000000000002E-2</v>
      </c>
      <c r="D11" s="76">
        <v>20.4330355212978</v>
      </c>
      <c r="E11" s="76">
        <v>33.681927949687001</v>
      </c>
      <c r="F11" s="76">
        <v>1.6484054909305801</v>
      </c>
      <c r="G11" s="2">
        <v>1.7693341038941301E-4</v>
      </c>
      <c r="H11" s="2">
        <v>1.2955015229463199E-4</v>
      </c>
      <c r="I11" t="s">
        <v>100</v>
      </c>
      <c r="J11" t="s">
        <v>101</v>
      </c>
      <c r="K11">
        <v>11.260513371849299</v>
      </c>
      <c r="L11">
        <f t="shared" si="0"/>
        <v>0.55109351521031813</v>
      </c>
    </row>
    <row r="12" spans="1:12" ht="16" x14ac:dyDescent="0.2">
      <c r="A12" s="21" t="s">
        <v>99</v>
      </c>
      <c r="B12">
        <v>2</v>
      </c>
      <c r="C12">
        <v>6.7000000000000004E-2</v>
      </c>
      <c r="D12" s="76">
        <v>39.715918034298802</v>
      </c>
      <c r="E12" s="76">
        <v>61.497914186219397</v>
      </c>
      <c r="F12" s="76">
        <v>1.5484449870479999</v>
      </c>
      <c r="G12" s="2">
        <v>3.01269933415948E-4</v>
      </c>
      <c r="H12" s="2">
        <v>2.2308805622065501E-4</v>
      </c>
      <c r="I12" t="s">
        <v>102</v>
      </c>
      <c r="J12" t="s">
        <v>103</v>
      </c>
      <c r="K12">
        <v>21.742011532620399</v>
      </c>
      <c r="L12">
        <f t="shared" si="0"/>
        <v>0.54743822146686683</v>
      </c>
    </row>
    <row r="13" spans="1:12" ht="16" x14ac:dyDescent="0.2">
      <c r="A13" s="21" t="s">
        <v>99</v>
      </c>
      <c r="B13">
        <v>3</v>
      </c>
      <c r="C13">
        <v>0.12870000000000001</v>
      </c>
      <c r="D13" s="76">
        <v>76.484352351225098</v>
      </c>
      <c r="E13" s="76">
        <v>113.247805882771</v>
      </c>
      <c r="F13" s="76">
        <v>1.4806663376415099</v>
      </c>
      <c r="G13" s="2">
        <v>5.1387423858629199E-4</v>
      </c>
      <c r="H13" s="2">
        <v>3.83275694143815E-4</v>
      </c>
      <c r="I13" t="s">
        <v>104</v>
      </c>
      <c r="J13" t="s">
        <v>105</v>
      </c>
      <c r="K13">
        <v>41.452767997538601</v>
      </c>
      <c r="L13">
        <f t="shared" si="0"/>
        <v>0.54197710673135646</v>
      </c>
    </row>
    <row r="14" spans="1:12" ht="16" x14ac:dyDescent="0.2">
      <c r="A14" s="21" t="s">
        <v>99</v>
      </c>
      <c r="B14">
        <v>4</v>
      </c>
      <c r="C14">
        <v>0.25330000000000003</v>
      </c>
      <c r="D14" s="76">
        <v>153.526608783331</v>
      </c>
      <c r="E14" s="76">
        <v>240.63596597236599</v>
      </c>
      <c r="F14" s="76">
        <v>1.5673893136789701</v>
      </c>
      <c r="G14" s="2">
        <v>8.7251770167488503E-4</v>
      </c>
      <c r="H14" s="2">
        <v>6.4473833422031305E-4</v>
      </c>
      <c r="I14" t="s">
        <v>106</v>
      </c>
      <c r="J14" t="s">
        <v>107</v>
      </c>
      <c r="K14">
        <v>80.971870884056102</v>
      </c>
      <c r="L14">
        <f t="shared" si="0"/>
        <v>0.52741261938723638</v>
      </c>
    </row>
    <row r="15" spans="1:12" ht="16" x14ac:dyDescent="0.2">
      <c r="A15" s="21" t="s">
        <v>99</v>
      </c>
      <c r="B15">
        <v>5</v>
      </c>
      <c r="C15">
        <v>0.4884</v>
      </c>
      <c r="D15" s="76">
        <v>298.464371466974</v>
      </c>
      <c r="E15" s="76">
        <v>471.75583647936099</v>
      </c>
      <c r="F15" s="76">
        <v>1.5806102221201299</v>
      </c>
      <c r="G15" s="2">
        <v>1.4126805351022201E-3</v>
      </c>
      <c r="H15" s="2">
        <v>1.0423579948235799E-3</v>
      </c>
      <c r="I15" t="s">
        <v>108</v>
      </c>
      <c r="J15" t="s">
        <v>109</v>
      </c>
      <c r="K15">
        <v>155.317065889254</v>
      </c>
      <c r="L15">
        <f t="shared" si="0"/>
        <v>0.52038729154122942</v>
      </c>
    </row>
    <row r="16" spans="1:12" ht="16" x14ac:dyDescent="0.2">
      <c r="A16" s="21" t="s">
        <v>99</v>
      </c>
      <c r="B16">
        <v>6</v>
      </c>
      <c r="C16">
        <v>1</v>
      </c>
      <c r="D16" s="76">
        <v>615.237033847166</v>
      </c>
      <c r="E16" s="76">
        <v>1018.7895552075501</v>
      </c>
      <c r="F16" s="76">
        <v>1.65593015237868</v>
      </c>
      <c r="G16" s="2">
        <v>2.3293942235745402E-3</v>
      </c>
      <c r="H16" s="2">
        <v>1.70418797194293E-3</v>
      </c>
      <c r="I16" t="s">
        <v>110</v>
      </c>
      <c r="J16" t="s">
        <v>111</v>
      </c>
      <c r="K16">
        <v>320.92</v>
      </c>
      <c r="L16">
        <f t="shared" si="0"/>
        <v>0.52162009493030825</v>
      </c>
    </row>
    <row r="17" spans="1:12" ht="16" x14ac:dyDescent="0.2">
      <c r="A17" s="21" t="s">
        <v>99</v>
      </c>
      <c r="B17">
        <v>7</v>
      </c>
      <c r="C17">
        <v>1.9378</v>
      </c>
      <c r="D17" s="76">
        <v>1242.8200167911</v>
      </c>
      <c r="E17" s="76">
        <v>1967.91485715717</v>
      </c>
      <c r="F17" s="76">
        <v>1.5834270695432</v>
      </c>
      <c r="G17" s="2">
        <v>3.6989594598889602E-3</v>
      </c>
      <c r="H17" s="2">
        <v>2.7281263655931799E-3</v>
      </c>
      <c r="I17" t="s">
        <v>112</v>
      </c>
      <c r="J17" t="s">
        <v>113</v>
      </c>
      <c r="K17">
        <v>617.91436917359397</v>
      </c>
      <c r="L17">
        <f t="shared" si="0"/>
        <v>0.49718733269924187</v>
      </c>
    </row>
    <row r="18" spans="1:12" s="10" customFormat="1" ht="16" thickBot="1" x14ac:dyDescent="0.25">
      <c r="A18" s="24"/>
      <c r="D18" s="26"/>
      <c r="E18" s="26"/>
      <c r="F18" s="26"/>
      <c r="G18" s="81"/>
      <c r="H18" s="81"/>
    </row>
    <row r="19" spans="1:12" ht="17" thickBot="1" x14ac:dyDescent="0.25">
      <c r="A19" s="24" t="s">
        <v>114</v>
      </c>
      <c r="B19" s="10"/>
      <c r="C19" s="10"/>
      <c r="D19" s="26"/>
      <c r="E19" s="26"/>
      <c r="F19" s="26"/>
      <c r="G19" s="81"/>
      <c r="H19" s="81"/>
      <c r="I19" s="10"/>
      <c r="J19" s="10"/>
    </row>
    <row r="20" spans="1:12" ht="17" thickBot="1" x14ac:dyDescent="0.25">
      <c r="A20" s="203" t="s">
        <v>72</v>
      </c>
      <c r="B20" s="204" t="s">
        <v>73</v>
      </c>
      <c r="C20" s="205" t="s">
        <v>115</v>
      </c>
      <c r="D20" s="206" t="s">
        <v>116</v>
      </c>
      <c r="E20" s="206" t="s">
        <v>117</v>
      </c>
      <c r="F20" s="206" t="s">
        <v>118</v>
      </c>
      <c r="G20" s="207" t="s">
        <v>119</v>
      </c>
      <c r="H20" s="207" t="s">
        <v>120</v>
      </c>
      <c r="I20" s="205" t="s">
        <v>121</v>
      </c>
      <c r="J20" s="205" t="s">
        <v>122</v>
      </c>
    </row>
    <row r="21" spans="1:12" ht="16" x14ac:dyDescent="0.2">
      <c r="A21" s="21" t="s">
        <v>84</v>
      </c>
      <c r="B21">
        <v>1</v>
      </c>
      <c r="C21" s="2">
        <v>0.43571818099999998</v>
      </c>
      <c r="D21" s="2">
        <v>3.1443397700000002</v>
      </c>
      <c r="E21" s="2">
        <v>1.7208744799999998E-2</v>
      </c>
      <c r="F21" s="2">
        <v>2.2646144699999999E-2</v>
      </c>
      <c r="G21" s="2">
        <f t="shared" ref="G21:G34" si="1">E21*C21</f>
        <v>7.4981629815492074E-3</v>
      </c>
      <c r="H21" s="2">
        <f t="shared" ref="H21:H34" si="2">F21*D21</f>
        <v>7.1207173417384723E-2</v>
      </c>
      <c r="I21">
        <f t="shared" ref="I21:I34" si="3">EXP(D21-C21*C21)</f>
        <v>19.191921528076993</v>
      </c>
      <c r="J21" s="2">
        <f t="shared" ref="J21:J34" si="4">I21*SQRT(H21*H21 + (4*G21*G21*C21*C21))</f>
        <v>1.3723441046792775</v>
      </c>
    </row>
    <row r="22" spans="1:12" ht="16" x14ac:dyDescent="0.2">
      <c r="A22" s="21" t="s">
        <v>84</v>
      </c>
      <c r="B22">
        <v>2</v>
      </c>
      <c r="C22">
        <v>0.39731850000000002</v>
      </c>
      <c r="D22">
        <v>3.76230749</v>
      </c>
      <c r="E22">
        <v>1.4355410000000001E-2</v>
      </c>
      <c r="F22">
        <v>1.8310590000000002E-2</v>
      </c>
      <c r="G22" s="2">
        <f t="shared" si="1"/>
        <v>5.7036699680850008E-3</v>
      </c>
      <c r="H22" s="2">
        <f t="shared" si="2"/>
        <v>6.8890069903319112E-2</v>
      </c>
      <c r="I22">
        <f t="shared" si="3"/>
        <v>36.761294050879393</v>
      </c>
      <c r="J22" s="2">
        <f t="shared" si="4"/>
        <v>2.537963081509488</v>
      </c>
    </row>
    <row r="23" spans="1:12" ht="16" x14ac:dyDescent="0.2">
      <c r="A23" s="21" t="s">
        <v>84</v>
      </c>
      <c r="B23">
        <v>3</v>
      </c>
      <c r="C23">
        <v>0.4111746</v>
      </c>
      <c r="D23">
        <v>4.4347234100000001</v>
      </c>
      <c r="E23">
        <v>1.6094609999999999E-2</v>
      </c>
      <c r="F23">
        <v>2.083546E-2</v>
      </c>
      <c r="G23" s="2">
        <f t="shared" si="1"/>
        <v>6.6176948289059997E-3</v>
      </c>
      <c r="H23" s="2">
        <f t="shared" si="2"/>
        <v>9.2399502220118598E-2</v>
      </c>
      <c r="I23">
        <f t="shared" si="3"/>
        <v>71.211823022179502</v>
      </c>
      <c r="J23" s="2">
        <f t="shared" si="4"/>
        <v>6.591339559263024</v>
      </c>
    </row>
    <row r="24" spans="1:12" ht="16" x14ac:dyDescent="0.2">
      <c r="A24" s="21" t="s">
        <v>84</v>
      </c>
      <c r="B24">
        <v>4</v>
      </c>
      <c r="C24">
        <v>0.42375507000000001</v>
      </c>
      <c r="D24">
        <v>5.1314834100000004</v>
      </c>
      <c r="E24">
        <v>1.836809E-2</v>
      </c>
      <c r="F24">
        <v>2.3993270000000001E-2</v>
      </c>
      <c r="G24" s="2">
        <f t="shared" si="1"/>
        <v>7.7835712637163001E-3</v>
      </c>
      <c r="H24" s="2">
        <f t="shared" si="2"/>
        <v>0.12312106695665072</v>
      </c>
      <c r="I24">
        <f t="shared" si="3"/>
        <v>141.44558016700211</v>
      </c>
      <c r="J24" s="2">
        <f t="shared" si="4"/>
        <v>17.439909070171939</v>
      </c>
    </row>
    <row r="25" spans="1:12" ht="16" x14ac:dyDescent="0.2">
      <c r="A25" s="21" t="s">
        <v>84</v>
      </c>
      <c r="B25">
        <v>5</v>
      </c>
      <c r="C25">
        <v>0.44032831</v>
      </c>
      <c r="D25">
        <v>5.80680964</v>
      </c>
      <c r="E25">
        <v>1.7139080000000001E-2</v>
      </c>
      <c r="F25">
        <v>2.2500740000000002E-2</v>
      </c>
      <c r="G25" s="2">
        <f t="shared" si="1"/>
        <v>7.5468221313548002E-3</v>
      </c>
      <c r="H25" s="2">
        <f t="shared" si="2"/>
        <v>0.13065751393913361</v>
      </c>
      <c r="I25">
        <f t="shared" si="3"/>
        <v>273.94315446626376</v>
      </c>
      <c r="J25" s="2">
        <f t="shared" si="4"/>
        <v>35.839007633347983</v>
      </c>
    </row>
    <row r="26" spans="1:12" ht="16" x14ac:dyDescent="0.2">
      <c r="A26" s="21" t="s">
        <v>84</v>
      </c>
      <c r="B26">
        <v>6</v>
      </c>
      <c r="C26">
        <v>0.48351008000000001</v>
      </c>
      <c r="D26">
        <v>6.6052333499999998</v>
      </c>
      <c r="E26">
        <v>1.844697E-2</v>
      </c>
      <c r="F26">
        <v>2.5349670000000001E-2</v>
      </c>
      <c r="G26" s="2">
        <f t="shared" si="1"/>
        <v>8.9192959404575996E-3</v>
      </c>
      <c r="H26" s="2">
        <f t="shared" si="2"/>
        <v>0.1674404856954945</v>
      </c>
      <c r="I26">
        <f t="shared" si="3"/>
        <v>584.90611813829605</v>
      </c>
      <c r="J26" s="2">
        <f t="shared" si="4"/>
        <v>98.066813949721535</v>
      </c>
    </row>
    <row r="27" spans="1:12" ht="16" x14ac:dyDescent="0.2">
      <c r="A27" s="21" t="s">
        <v>84</v>
      </c>
      <c r="B27">
        <v>7</v>
      </c>
      <c r="C27">
        <v>0.47737850999999998</v>
      </c>
      <c r="D27">
        <v>7.2623925199999997</v>
      </c>
      <c r="E27">
        <v>2.091848E-2</v>
      </c>
      <c r="F27">
        <v>2.885354E-2</v>
      </c>
      <c r="G27" s="2">
        <f t="shared" si="1"/>
        <v>9.9860328138647991E-3</v>
      </c>
      <c r="H27" s="2">
        <f t="shared" si="2"/>
        <v>0.2095457330715208</v>
      </c>
      <c r="I27">
        <f t="shared" si="3"/>
        <v>1135.1297927124033</v>
      </c>
      <c r="J27" s="2">
        <f t="shared" si="4"/>
        <v>238.10768878879873</v>
      </c>
    </row>
    <row r="28" spans="1:12" ht="16" x14ac:dyDescent="0.2">
      <c r="A28" s="21" t="s">
        <v>99</v>
      </c>
      <c r="B28">
        <v>1</v>
      </c>
      <c r="C28">
        <v>0.63798116999999999</v>
      </c>
      <c r="D28">
        <v>3.42445785</v>
      </c>
      <c r="E28">
        <v>1.3569940000000001E-2</v>
      </c>
      <c r="F28">
        <v>2.2283509999999999E-2</v>
      </c>
      <c r="G28" s="2">
        <f t="shared" si="1"/>
        <v>8.6573661980298006E-3</v>
      </c>
      <c r="H28" s="2">
        <f t="shared" si="2"/>
        <v>7.6308940745053497E-2</v>
      </c>
      <c r="I28">
        <f t="shared" si="3"/>
        <v>20.438857668732066</v>
      </c>
      <c r="J28" s="2">
        <f t="shared" si="4"/>
        <v>1.5759245993129209</v>
      </c>
    </row>
    <row r="29" spans="1:12" ht="16" x14ac:dyDescent="0.2">
      <c r="A29" s="21" t="s">
        <v>99</v>
      </c>
      <c r="B29">
        <v>2</v>
      </c>
      <c r="C29">
        <v>0.60513380999999999</v>
      </c>
      <c r="D29">
        <v>4.0479532699999998</v>
      </c>
      <c r="E29">
        <v>1.1533679999999999E-2</v>
      </c>
      <c r="F29">
        <v>1.824901E-2</v>
      </c>
      <c r="G29" s="2">
        <f t="shared" si="1"/>
        <v>6.9794197217207992E-3</v>
      </c>
      <c r="H29" s="2">
        <f t="shared" si="2"/>
        <v>7.3871139703762689E-2</v>
      </c>
      <c r="I29">
        <f t="shared" si="3"/>
        <v>39.716485047461447</v>
      </c>
      <c r="J29" s="2">
        <f t="shared" si="4"/>
        <v>2.953020556587211</v>
      </c>
    </row>
    <row r="30" spans="1:12" ht="16" x14ac:dyDescent="0.2">
      <c r="A30" s="21" t="s">
        <v>99</v>
      </c>
      <c r="B30">
        <v>3</v>
      </c>
      <c r="C30">
        <v>0.58210501000000003</v>
      </c>
      <c r="D30">
        <v>4.67582685</v>
      </c>
      <c r="E30">
        <v>1.349505E-2</v>
      </c>
      <c r="F30">
        <v>2.0816330000000001E-2</v>
      </c>
      <c r="G30" s="2">
        <f t="shared" si="1"/>
        <v>7.8555362152004996E-3</v>
      </c>
      <c r="H30" s="2">
        <f t="shared" si="2"/>
        <v>9.7333554732460498E-2</v>
      </c>
      <c r="I30">
        <f t="shared" si="3"/>
        <v>76.476278465892676</v>
      </c>
      <c r="J30" s="2">
        <f t="shared" si="4"/>
        <v>7.4764943889334914</v>
      </c>
    </row>
    <row r="31" spans="1:12" ht="16" x14ac:dyDescent="0.2">
      <c r="A31" s="21" t="s">
        <v>99</v>
      </c>
      <c r="B31">
        <v>4</v>
      </c>
      <c r="C31">
        <v>0.61144642999999999</v>
      </c>
      <c r="D31">
        <v>5.40767708</v>
      </c>
      <c r="E31">
        <v>1.118865E-2</v>
      </c>
      <c r="F31">
        <v>1.7856589999999999E-2</v>
      </c>
      <c r="G31" s="2">
        <f t="shared" si="1"/>
        <v>6.8412600990194992E-3</v>
      </c>
      <c r="H31" s="2">
        <f t="shared" si="2"/>
        <v>9.6562672469957186E-2</v>
      </c>
      <c r="I31">
        <f t="shared" si="3"/>
        <v>153.51685157362999</v>
      </c>
      <c r="J31" s="2">
        <f t="shared" si="4"/>
        <v>14.879530707757814</v>
      </c>
    </row>
    <row r="32" spans="1:12" ht="16" x14ac:dyDescent="0.2">
      <c r="A32" s="21" t="s">
        <v>99</v>
      </c>
      <c r="B32">
        <v>5</v>
      </c>
      <c r="C32">
        <v>0.61584466999999998</v>
      </c>
      <c r="D32">
        <v>6.0778004899999996</v>
      </c>
      <c r="E32">
        <v>1.4208729999999999E-2</v>
      </c>
      <c r="F32">
        <v>2.2805530000000001E-2</v>
      </c>
      <c r="G32" s="2">
        <f t="shared" si="1"/>
        <v>8.7503706379690998E-3</v>
      </c>
      <c r="H32" s="2">
        <f t="shared" si="2"/>
        <v>0.13860746140870969</v>
      </c>
      <c r="I32">
        <f t="shared" si="3"/>
        <v>298.43012920928948</v>
      </c>
      <c r="J32" s="2">
        <f t="shared" si="4"/>
        <v>41.489503485949115</v>
      </c>
    </row>
    <row r="33" spans="1:10" ht="16" x14ac:dyDescent="0.2">
      <c r="A33" s="21" t="s">
        <v>99</v>
      </c>
      <c r="B33">
        <v>6</v>
      </c>
      <c r="C33">
        <v>0.64048517999999999</v>
      </c>
      <c r="D33">
        <v>6.8325381900000002</v>
      </c>
      <c r="E33">
        <v>1.199105E-2</v>
      </c>
      <c r="F33">
        <v>1.982356E-2</v>
      </c>
      <c r="G33" s="2">
        <f t="shared" si="1"/>
        <v>7.6800898176389992E-3</v>
      </c>
      <c r="H33" s="2">
        <f t="shared" si="2"/>
        <v>0.13544523076175641</v>
      </c>
      <c r="I33">
        <f t="shared" si="3"/>
        <v>615.4273620999403</v>
      </c>
      <c r="J33" s="2">
        <f t="shared" si="4"/>
        <v>83.57629593737677</v>
      </c>
    </row>
    <row r="34" spans="1:10" ht="16" x14ac:dyDescent="0.2">
      <c r="A34" s="21" t="s">
        <v>99</v>
      </c>
      <c r="B34">
        <v>7</v>
      </c>
      <c r="C34">
        <v>0.61660314000000005</v>
      </c>
      <c r="D34">
        <v>7.50534532</v>
      </c>
      <c r="E34">
        <v>1.4060929999999999E-2</v>
      </c>
      <c r="F34">
        <v>2.2691579999999999E-2</v>
      </c>
      <c r="G34" s="2">
        <f t="shared" si="1"/>
        <v>8.670013589320201E-3</v>
      </c>
      <c r="H34" s="2">
        <f t="shared" si="2"/>
        <v>0.1703081437564056</v>
      </c>
      <c r="I34">
        <f t="shared" si="3"/>
        <v>1242.8294674147903</v>
      </c>
      <c r="J34" s="2">
        <f t="shared" si="4"/>
        <v>212.08068569504971</v>
      </c>
    </row>
    <row r="35" spans="1:10" ht="16" thickBot="1" x14ac:dyDescent="0.25">
      <c r="A35" s="24"/>
      <c r="B35" s="10"/>
      <c r="C35" s="10"/>
      <c r="D35" s="10"/>
      <c r="E35" s="10"/>
      <c r="F35" s="10"/>
      <c r="G35" s="10"/>
      <c r="H35" s="10"/>
      <c r="I35" s="10"/>
      <c r="J35" s="10"/>
    </row>
    <row r="36" spans="1:10" s="15" customFormat="1" ht="33" thickBot="1" x14ac:dyDescent="0.25">
      <c r="A36" s="73" t="s">
        <v>123</v>
      </c>
      <c r="D36" s="16"/>
      <c r="E36" s="16"/>
      <c r="F36" s="16"/>
      <c r="G36" s="75"/>
      <c r="H36" s="75"/>
    </row>
    <row r="37" spans="1:10" ht="16" x14ac:dyDescent="0.2">
      <c r="A37" s="1" t="s">
        <v>124</v>
      </c>
      <c r="B37" t="s">
        <v>125</v>
      </c>
    </row>
    <row r="38" spans="1:10" ht="32" x14ac:dyDescent="0.2">
      <c r="A38" s="1" t="s">
        <v>126</v>
      </c>
      <c r="B38" t="s">
        <v>127</v>
      </c>
    </row>
    <row r="39" spans="1:10" ht="16" x14ac:dyDescent="0.2">
      <c r="A39" s="77" t="s">
        <v>128</v>
      </c>
      <c r="B39" t="s">
        <v>129</v>
      </c>
    </row>
    <row r="40" spans="1:10" ht="32" x14ac:dyDescent="0.2">
      <c r="A40" s="78" t="s">
        <v>130</v>
      </c>
      <c r="B40" t="s">
        <v>131</v>
      </c>
    </row>
    <row r="41" spans="1:10" ht="33" thickBot="1" x14ac:dyDescent="0.25">
      <c r="A41" s="1" t="s">
        <v>132</v>
      </c>
      <c r="B41" t="s">
        <v>133</v>
      </c>
    </row>
    <row r="42" spans="1:10" s="6" customFormat="1" x14ac:dyDescent="0.2">
      <c r="E42" s="79"/>
      <c r="F42" s="79"/>
      <c r="G42" s="208"/>
      <c r="H42" s="208"/>
    </row>
    <row r="43" spans="1:10" x14ac:dyDescent="0.2">
      <c r="A43"/>
      <c r="D43"/>
    </row>
    <row r="44" spans="1:10" s="10" customFormat="1" ht="16" thickBot="1" x14ac:dyDescent="0.25">
      <c r="E44" s="26"/>
      <c r="F44" s="26"/>
      <c r="G44" s="81"/>
      <c r="H44" s="81"/>
    </row>
    <row r="45" spans="1:10" s="15" customFormat="1" ht="17" thickBot="1" x14ac:dyDescent="0.25">
      <c r="A45" s="73" t="s">
        <v>134</v>
      </c>
      <c r="D45" s="16"/>
      <c r="E45" s="16"/>
      <c r="F45" s="16"/>
      <c r="G45" s="75"/>
      <c r="H45" s="75"/>
    </row>
    <row r="46" spans="1:10" ht="16" x14ac:dyDescent="0.2">
      <c r="A46" s="1" t="s">
        <v>135</v>
      </c>
      <c r="B46" t="s">
        <v>136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1C77-B978-4047-B149-D82BA56CC9DA}">
  <dimension ref="A1:L28"/>
  <sheetViews>
    <sheetView workbookViewId="0">
      <selection activeCell="C35" sqref="C35"/>
    </sheetView>
  </sheetViews>
  <sheetFormatPr baseColWidth="10" defaultColWidth="8.83203125" defaultRowHeight="15" x14ac:dyDescent="0.2"/>
  <cols>
    <col min="1" max="1" width="17" style="1" customWidth="1"/>
    <col min="3" max="3" width="15.33203125" customWidth="1"/>
    <col min="4" max="4" width="16.6640625" style="3" customWidth="1"/>
    <col min="5" max="5" width="21.33203125" style="3" customWidth="1"/>
    <col min="6" max="6" width="17.1640625" style="4" customWidth="1"/>
    <col min="7" max="7" width="18.83203125" style="2" customWidth="1"/>
    <col min="8" max="8" width="25" style="2" customWidth="1"/>
    <col min="9" max="9" width="48.5" customWidth="1"/>
    <col min="10" max="10" width="44" customWidth="1"/>
    <col min="11" max="11" width="22" customWidth="1"/>
  </cols>
  <sheetData>
    <row r="1" spans="1:12" ht="16" x14ac:dyDescent="0.2">
      <c r="A1" s="1" t="s">
        <v>68</v>
      </c>
      <c r="B1" t="s">
        <v>137</v>
      </c>
    </row>
    <row r="2" spans="1:12" ht="17" thickBot="1" x14ac:dyDescent="0.25">
      <c r="A2" s="1" t="s">
        <v>138</v>
      </c>
      <c r="B2" t="s">
        <v>139</v>
      </c>
    </row>
    <row r="3" spans="1:12" s="160" customFormat="1" ht="17" thickBot="1" x14ac:dyDescent="0.25">
      <c r="A3" s="159" t="s">
        <v>72</v>
      </c>
      <c r="B3" s="160" t="s">
        <v>73</v>
      </c>
      <c r="C3" s="160" t="s">
        <v>74</v>
      </c>
      <c r="D3" s="161" t="s">
        <v>75</v>
      </c>
      <c r="E3" s="161" t="s">
        <v>76</v>
      </c>
      <c r="F3" s="161" t="s">
        <v>77</v>
      </c>
      <c r="G3" s="162" t="s">
        <v>78</v>
      </c>
      <c r="H3" s="162" t="s">
        <v>79</v>
      </c>
      <c r="I3" s="160" t="s">
        <v>140</v>
      </c>
      <c r="J3" s="160" t="s">
        <v>81</v>
      </c>
      <c r="K3" s="160" t="s">
        <v>82</v>
      </c>
      <c r="L3" s="160" t="s">
        <v>83</v>
      </c>
    </row>
    <row r="4" spans="1:12" ht="16" x14ac:dyDescent="0.2">
      <c r="A4" s="21" t="s">
        <v>84</v>
      </c>
      <c r="B4">
        <v>1</v>
      </c>
      <c r="C4">
        <v>3.4700000000000002E-2</v>
      </c>
      <c r="D4" s="76">
        <v>16.326060843968701</v>
      </c>
      <c r="E4" s="76">
        <v>10.7823389359471</v>
      </c>
      <c r="F4" s="76">
        <v>0.66043726279082304</v>
      </c>
      <c r="G4" s="2">
        <v>3.8904578074820402E-4</v>
      </c>
      <c r="H4" s="2">
        <v>3.1394020918982499E-4</v>
      </c>
      <c r="I4" t="s">
        <v>141</v>
      </c>
      <c r="J4" t="s">
        <v>142</v>
      </c>
      <c r="K4">
        <v>11.337747667124001</v>
      </c>
      <c r="L4">
        <f>K4/D4</f>
        <v>0.69445702643650742</v>
      </c>
    </row>
    <row r="5" spans="1:12" ht="16" x14ac:dyDescent="0.2">
      <c r="A5" s="21" t="s">
        <v>84</v>
      </c>
      <c r="B5">
        <v>2</v>
      </c>
      <c r="C5">
        <v>6.7000000000000004E-2</v>
      </c>
      <c r="D5" s="76">
        <v>30.472596616563301</v>
      </c>
      <c r="E5" s="76">
        <v>20.120277573434599</v>
      </c>
      <c r="F5" s="76">
        <v>0.66027446976731696</v>
      </c>
      <c r="G5" s="2">
        <v>4.3861476970395301E-4</v>
      </c>
      <c r="H5" s="2">
        <v>3.53997260976046E-4</v>
      </c>
      <c r="I5" t="s">
        <v>143</v>
      </c>
      <c r="J5" t="s">
        <v>144</v>
      </c>
      <c r="K5">
        <v>21.6051109590836</v>
      </c>
      <c r="L5">
        <f t="shared" ref="L5:L17" si="0">K5/D5</f>
        <v>0.70900131127454358</v>
      </c>
    </row>
    <row r="6" spans="1:12" ht="16" x14ac:dyDescent="0.2">
      <c r="A6" s="21" t="s">
        <v>84</v>
      </c>
      <c r="B6">
        <v>3</v>
      </c>
      <c r="C6">
        <v>0.12870000000000001</v>
      </c>
      <c r="D6" s="76">
        <v>55.763857726125202</v>
      </c>
      <c r="E6" s="76">
        <v>37.968914556791297</v>
      </c>
      <c r="F6" s="76">
        <v>0.68088751576817497</v>
      </c>
      <c r="G6" s="2">
        <v>5.1825992048333699E-4</v>
      </c>
      <c r="H6" s="2">
        <v>4.1824047980878798E-4</v>
      </c>
      <c r="I6" t="s">
        <v>145</v>
      </c>
      <c r="J6" t="s">
        <v>146</v>
      </c>
      <c r="K6">
        <v>40.908563969994198</v>
      </c>
      <c r="L6">
        <f t="shared" si="0"/>
        <v>0.73360354964876573</v>
      </c>
    </row>
    <row r="7" spans="1:12" ht="16" x14ac:dyDescent="0.2">
      <c r="A7" s="21" t="s">
        <v>84</v>
      </c>
      <c r="B7">
        <v>4</v>
      </c>
      <c r="C7">
        <v>0.25330000000000003</v>
      </c>
      <c r="D7" s="3">
        <v>106.257721398179</v>
      </c>
      <c r="E7" s="76">
        <v>69.3138630526105</v>
      </c>
      <c r="F7" s="76">
        <v>0.65231836463790305</v>
      </c>
      <c r="G7" s="2">
        <v>6.2909747826217196E-4</v>
      </c>
      <c r="H7" s="2">
        <v>5.0757987441797301E-4</v>
      </c>
      <c r="I7" t="s">
        <v>147</v>
      </c>
      <c r="J7" t="s">
        <v>148</v>
      </c>
      <c r="K7">
        <v>81.620316258526202</v>
      </c>
      <c r="L7">
        <f t="shared" si="0"/>
        <v>0.76813538992306096</v>
      </c>
    </row>
    <row r="8" spans="1:12" ht="16" x14ac:dyDescent="0.2">
      <c r="A8" s="21" t="s">
        <v>84</v>
      </c>
      <c r="B8">
        <v>5</v>
      </c>
      <c r="C8">
        <v>0.4884</v>
      </c>
      <c r="D8" s="76">
        <v>200.03526318447601</v>
      </c>
      <c r="E8" s="76">
        <v>130.09560284408801</v>
      </c>
      <c r="F8" s="76">
        <v>0.65036334480741897</v>
      </c>
      <c r="G8" s="2">
        <v>7.8823785428385699E-4</v>
      </c>
      <c r="H8" s="2">
        <v>6.35973367324361E-4</v>
      </c>
      <c r="I8" t="s">
        <v>149</v>
      </c>
      <c r="J8" t="s">
        <v>150</v>
      </c>
      <c r="K8">
        <v>155.61623190543401</v>
      </c>
      <c r="L8">
        <f t="shared" si="0"/>
        <v>0.77794399561402328</v>
      </c>
    </row>
    <row r="9" spans="1:12" ht="16" x14ac:dyDescent="0.2">
      <c r="A9" s="21" t="s">
        <v>84</v>
      </c>
      <c r="B9">
        <v>6</v>
      </c>
      <c r="C9">
        <v>1</v>
      </c>
      <c r="D9" s="76">
        <v>404.955083559211</v>
      </c>
      <c r="E9" s="76">
        <v>272.03497829165798</v>
      </c>
      <c r="F9" s="76">
        <v>0.67176580647093298</v>
      </c>
      <c r="G9" s="2">
        <v>9.6262205152805504E-4</v>
      </c>
      <c r="H9" s="2">
        <v>7.7669343852835595E-4</v>
      </c>
      <c r="I9" t="s">
        <v>151</v>
      </c>
      <c r="J9" t="s">
        <v>152</v>
      </c>
      <c r="K9">
        <v>320.14235191964099</v>
      </c>
      <c r="L9">
        <f t="shared" si="0"/>
        <v>0.79056262019447143</v>
      </c>
    </row>
    <row r="10" spans="1:12" ht="16" x14ac:dyDescent="0.2">
      <c r="A10" s="21" t="s">
        <v>84</v>
      </c>
      <c r="B10">
        <v>7</v>
      </c>
      <c r="C10">
        <v>1.9378</v>
      </c>
      <c r="D10" s="76">
        <v>787.29281654652902</v>
      </c>
      <c r="E10" s="76">
        <v>565.11326878771695</v>
      </c>
      <c r="F10" s="76">
        <v>0.717792995072144</v>
      </c>
      <c r="G10" s="2">
        <v>1.1426381906586699E-3</v>
      </c>
      <c r="H10" s="2">
        <v>9.2198622387187803E-4</v>
      </c>
      <c r="I10" t="s">
        <v>153</v>
      </c>
      <c r="J10" t="s">
        <v>154</v>
      </c>
      <c r="K10">
        <v>618.72327340115703</v>
      </c>
      <c r="L10">
        <f t="shared" si="0"/>
        <v>0.78588710629317737</v>
      </c>
    </row>
    <row r="11" spans="1:12" ht="16" x14ac:dyDescent="0.2">
      <c r="A11" s="21" t="s">
        <v>99</v>
      </c>
      <c r="B11">
        <v>1</v>
      </c>
      <c r="C11">
        <v>3.4700000000000002E-2</v>
      </c>
      <c r="D11" s="76">
        <v>17.192253320924099</v>
      </c>
      <c r="E11" s="76">
        <v>17.7309074916183</v>
      </c>
      <c r="F11" s="76">
        <v>1.03133121416019</v>
      </c>
      <c r="G11" s="2">
        <v>5.8957063056564601E-4</v>
      </c>
      <c r="H11" s="2">
        <v>4.7571000469330402E-4</v>
      </c>
      <c r="I11" t="s">
        <v>155</v>
      </c>
      <c r="J11" t="s">
        <v>156</v>
      </c>
      <c r="K11">
        <v>11.260513371849299</v>
      </c>
      <c r="L11">
        <f t="shared" si="0"/>
        <v>0.65497600353203944</v>
      </c>
    </row>
    <row r="12" spans="1:12" ht="16" x14ac:dyDescent="0.2">
      <c r="A12" s="21" t="s">
        <v>99</v>
      </c>
      <c r="B12">
        <v>2</v>
      </c>
      <c r="C12">
        <v>6.7000000000000004E-2</v>
      </c>
      <c r="D12" s="76">
        <v>32.364639149329797</v>
      </c>
      <c r="E12" s="76">
        <v>32.363563373674701</v>
      </c>
      <c r="F12" s="76">
        <v>0.99996676077090896</v>
      </c>
      <c r="G12" s="2">
        <v>7.00517031441666E-4</v>
      </c>
      <c r="H12" s="2">
        <v>5.6522706228306603E-4</v>
      </c>
      <c r="I12" t="s">
        <v>157</v>
      </c>
      <c r="J12" t="s">
        <v>158</v>
      </c>
      <c r="K12">
        <v>21.742011532620399</v>
      </c>
      <c r="L12">
        <f t="shared" si="0"/>
        <v>0.67178291197078366</v>
      </c>
    </row>
    <row r="13" spans="1:12" ht="16" x14ac:dyDescent="0.2">
      <c r="A13" s="21" t="s">
        <v>99</v>
      </c>
      <c r="B13">
        <v>3</v>
      </c>
      <c r="C13">
        <v>0.12870000000000001</v>
      </c>
      <c r="D13" s="76">
        <v>59.484482697979601</v>
      </c>
      <c r="E13" s="76">
        <v>57.183812182596498</v>
      </c>
      <c r="F13" s="76">
        <v>0.96132318192856603</v>
      </c>
      <c r="G13" s="2">
        <v>8.6250773068452698E-4</v>
      </c>
      <c r="H13" s="2">
        <v>6.9590846070464204E-4</v>
      </c>
      <c r="I13" t="s">
        <v>159</v>
      </c>
      <c r="J13" t="s">
        <v>160</v>
      </c>
      <c r="K13">
        <v>41.452767997538601</v>
      </c>
      <c r="L13">
        <f t="shared" si="0"/>
        <v>0.6968669158309172</v>
      </c>
    </row>
    <row r="14" spans="1:12" ht="16" x14ac:dyDescent="0.2">
      <c r="A14" s="21" t="s">
        <v>99</v>
      </c>
      <c r="B14">
        <v>4</v>
      </c>
      <c r="C14">
        <v>0.25330000000000003</v>
      </c>
      <c r="D14" s="76">
        <v>114.414679246529</v>
      </c>
      <c r="E14" s="76">
        <v>107.02999685441</v>
      </c>
      <c r="F14" s="76">
        <v>0.935456862347123</v>
      </c>
      <c r="G14" s="2">
        <v>1.06688671918769E-3</v>
      </c>
      <c r="H14" s="2">
        <v>8.60887221349876E-4</v>
      </c>
      <c r="I14" t="s">
        <v>161</v>
      </c>
      <c r="J14" t="s">
        <v>162</v>
      </c>
      <c r="K14">
        <v>80.971870884056102</v>
      </c>
      <c r="L14">
        <f t="shared" si="0"/>
        <v>0.70770526489512964</v>
      </c>
    </row>
    <row r="15" spans="1:12" ht="16" x14ac:dyDescent="0.2">
      <c r="A15" s="21" t="s">
        <v>99</v>
      </c>
      <c r="B15">
        <v>5</v>
      </c>
      <c r="C15">
        <v>0.4884</v>
      </c>
      <c r="D15" s="76">
        <v>213.69638861776301</v>
      </c>
      <c r="E15" s="76">
        <v>211.86473802192401</v>
      </c>
      <c r="F15" s="76">
        <v>0.99142872461398701</v>
      </c>
      <c r="G15" s="2">
        <v>1.2452407966697301E-3</v>
      </c>
      <c r="H15" s="2">
        <v>1.00479166785042E-3</v>
      </c>
      <c r="I15" t="s">
        <v>163</v>
      </c>
      <c r="J15" t="s">
        <v>164</v>
      </c>
      <c r="K15">
        <v>155.317065889254</v>
      </c>
      <c r="L15">
        <f t="shared" si="0"/>
        <v>0.72681184223037276</v>
      </c>
    </row>
    <row r="16" spans="1:12" ht="16" x14ac:dyDescent="0.2">
      <c r="A16" s="21" t="s">
        <v>99</v>
      </c>
      <c r="B16">
        <v>6</v>
      </c>
      <c r="C16">
        <v>1</v>
      </c>
      <c r="D16" s="76">
        <v>437.36228667875503</v>
      </c>
      <c r="E16" s="76">
        <v>440.44431716927397</v>
      </c>
      <c r="F16" s="76">
        <v>1.00704685928437</v>
      </c>
      <c r="G16" s="2">
        <v>1.6117155861775599E-3</v>
      </c>
      <c r="H16" s="2">
        <v>1.3007537648940201E-3</v>
      </c>
      <c r="I16" t="s">
        <v>165</v>
      </c>
      <c r="J16" t="s">
        <v>166</v>
      </c>
      <c r="K16">
        <v>320.92</v>
      </c>
      <c r="L16">
        <f t="shared" si="0"/>
        <v>0.73376239738685445</v>
      </c>
    </row>
    <row r="17" spans="1:12" ht="16" x14ac:dyDescent="0.2">
      <c r="A17" s="21" t="s">
        <v>99</v>
      </c>
      <c r="B17">
        <v>7</v>
      </c>
      <c r="C17">
        <v>1.9378</v>
      </c>
      <c r="D17" s="76">
        <v>838.87928856715303</v>
      </c>
      <c r="E17" s="76">
        <v>850.61232867373405</v>
      </c>
      <c r="F17" s="76">
        <v>1.0139865654886</v>
      </c>
      <c r="G17" s="2">
        <v>2.0507220524902899E-3</v>
      </c>
      <c r="H17" s="2">
        <v>1.65445088749486E-3</v>
      </c>
      <c r="I17" t="s">
        <v>167</v>
      </c>
      <c r="J17" t="s">
        <v>168</v>
      </c>
      <c r="K17">
        <v>617.91436917359397</v>
      </c>
      <c r="L17">
        <f t="shared" si="0"/>
        <v>0.73659509490217834</v>
      </c>
    </row>
    <row r="18" spans="1:12" s="10" customFormat="1" ht="16" thickBot="1" x14ac:dyDescent="0.25">
      <c r="A18" s="24"/>
      <c r="D18" s="26"/>
      <c r="E18" s="26"/>
      <c r="F18" s="80"/>
      <c r="G18" s="81"/>
      <c r="H18" s="81"/>
    </row>
    <row r="19" spans="1:12" s="15" customFormat="1" ht="33" thickBot="1" x14ac:dyDescent="0.25">
      <c r="A19" s="73" t="s">
        <v>123</v>
      </c>
      <c r="D19" s="16"/>
      <c r="E19" s="16"/>
      <c r="F19" s="74"/>
      <c r="G19" s="75"/>
      <c r="H19" s="75"/>
    </row>
    <row r="20" spans="1:12" ht="16" x14ac:dyDescent="0.2">
      <c r="A20" s="1" t="s">
        <v>124</v>
      </c>
      <c r="B20" t="s">
        <v>169</v>
      </c>
    </row>
    <row r="21" spans="1:12" ht="32" x14ac:dyDescent="0.2">
      <c r="A21" s="1" t="s">
        <v>126</v>
      </c>
      <c r="B21" t="s">
        <v>170</v>
      </c>
    </row>
    <row r="22" spans="1:12" ht="16" x14ac:dyDescent="0.2">
      <c r="A22" s="77" t="s">
        <v>128</v>
      </c>
      <c r="B22" t="s">
        <v>171</v>
      </c>
    </row>
    <row r="23" spans="1:12" ht="32" x14ac:dyDescent="0.2">
      <c r="A23" s="78" t="s">
        <v>130</v>
      </c>
      <c r="B23" t="s">
        <v>172</v>
      </c>
    </row>
    <row r="24" spans="1:12" ht="32" x14ac:dyDescent="0.2">
      <c r="A24" s="1" t="s">
        <v>132</v>
      </c>
      <c r="B24" t="s">
        <v>173</v>
      </c>
    </row>
    <row r="25" spans="1:12" ht="16" x14ac:dyDescent="0.2">
      <c r="A25" s="1" t="s">
        <v>174</v>
      </c>
      <c r="B25" t="s">
        <v>175</v>
      </c>
    </row>
    <row r="26" spans="1:12" ht="16" thickBot="1" x14ac:dyDescent="0.25"/>
    <row r="27" spans="1:12" s="15" customFormat="1" ht="17" thickBot="1" x14ac:dyDescent="0.25">
      <c r="A27" s="73" t="s">
        <v>134</v>
      </c>
      <c r="D27" s="16"/>
      <c r="E27" s="16"/>
      <c r="F27" s="74"/>
      <c r="G27" s="75"/>
      <c r="H27" s="75"/>
    </row>
    <row r="28" spans="1:12" ht="16" x14ac:dyDescent="0.2">
      <c r="A28" s="1" t="s">
        <v>135</v>
      </c>
      <c r="B28" t="s">
        <v>136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3558-8A28-4CB4-91FB-C3A0948E1800}">
  <dimension ref="A1:G25"/>
  <sheetViews>
    <sheetView tabSelected="1" zoomScale="112" workbookViewId="0">
      <selection activeCell="B8" sqref="B8"/>
    </sheetView>
  </sheetViews>
  <sheetFormatPr baseColWidth="10" defaultColWidth="8.83203125" defaultRowHeight="15" x14ac:dyDescent="0.2"/>
  <cols>
    <col min="1" max="1" width="11.5" style="8" customWidth="1"/>
    <col min="2" max="2" width="12.6640625" customWidth="1"/>
    <col min="3" max="3" width="12" customWidth="1"/>
    <col min="4" max="4" width="14.5" customWidth="1"/>
    <col min="5" max="5" width="16.5" style="2" customWidth="1"/>
    <col min="6" max="6" width="13.83203125" style="2" customWidth="1"/>
    <col min="7" max="7" width="16.33203125" style="17" customWidth="1"/>
  </cols>
  <sheetData>
    <row r="1" spans="1:7" s="32" customFormat="1" ht="16" thickBot="1" x14ac:dyDescent="0.25">
      <c r="A1" s="55" t="s">
        <v>176</v>
      </c>
      <c r="B1" s="56" t="s">
        <v>45</v>
      </c>
      <c r="C1" s="56" t="s">
        <v>46</v>
      </c>
      <c r="D1" s="56" t="s">
        <v>47</v>
      </c>
      <c r="E1" s="57" t="s">
        <v>48</v>
      </c>
      <c r="F1" s="57"/>
      <c r="G1" s="170"/>
    </row>
    <row r="2" spans="1:7" x14ac:dyDescent="0.2">
      <c r="A2" s="157" t="s">
        <v>49</v>
      </c>
      <c r="B2" s="53">
        <v>0.3</v>
      </c>
      <c r="C2" s="53" t="s">
        <v>50</v>
      </c>
      <c r="D2" s="53" t="s">
        <v>51</v>
      </c>
      <c r="E2" s="54"/>
      <c r="F2" s="54"/>
      <c r="G2" s="171"/>
    </row>
    <row r="3" spans="1:7" x14ac:dyDescent="0.2">
      <c r="A3" s="67" t="s">
        <v>52</v>
      </c>
      <c r="B3" s="37">
        <v>2.1800000000000002</v>
      </c>
      <c r="C3" s="37" t="s">
        <v>53</v>
      </c>
      <c r="D3" s="37" t="s">
        <v>54</v>
      </c>
      <c r="E3" s="49"/>
      <c r="F3" s="49"/>
      <c r="G3" s="172"/>
    </row>
    <row r="4" spans="1:7" x14ac:dyDescent="0.2">
      <c r="A4" s="67" t="s">
        <v>55</v>
      </c>
      <c r="B4" s="37">
        <f>GridsAndSpokes!D7</f>
        <v>0.56538865625000012</v>
      </c>
      <c r="C4" s="37" t="s">
        <v>56</v>
      </c>
      <c r="D4" s="37"/>
      <c r="E4" s="49"/>
      <c r="F4" s="49"/>
      <c r="G4" s="172"/>
    </row>
    <row r="5" spans="1:7" ht="16" thickBot="1" x14ac:dyDescent="0.25">
      <c r="A5" s="158"/>
      <c r="B5" s="39"/>
      <c r="C5" s="39"/>
      <c r="D5" s="39"/>
      <c r="E5" s="52"/>
      <c r="F5" s="52"/>
      <c r="G5" s="173"/>
    </row>
    <row r="6" spans="1:7" s="32" customFormat="1" ht="16" thickBot="1" x14ac:dyDescent="0.25">
      <c r="A6" s="55" t="str">
        <f>H_KE_Response_vals!A3</f>
        <v>E_mode</v>
      </c>
      <c r="B6" s="56" t="str">
        <f>H_KE_Response_vals!B3</f>
        <v>estep</v>
      </c>
      <c r="C6" s="56" t="str">
        <f>H_KE_Response_vals!C3</f>
        <v xml:space="preserve">scale_fact </v>
      </c>
      <c r="D6" s="56" t="str">
        <f>H_KE_Response_vals!F3</f>
        <v>de_e</v>
      </c>
      <c r="E6" s="142" t="str">
        <f>H_KE_Response_vals!H3</f>
        <v>Effic_ESA-CS Mean |FWHM|</v>
      </c>
      <c r="F6" s="57" t="s">
        <v>58</v>
      </c>
      <c r="G6" s="170" t="s">
        <v>32</v>
      </c>
    </row>
    <row r="7" spans="1:7" s="15" customFormat="1" ht="16" thickBot="1" x14ac:dyDescent="0.25">
      <c r="A7" s="58"/>
      <c r="B7" s="59"/>
      <c r="C7" s="59" t="s">
        <v>64</v>
      </c>
      <c r="D7" s="59" t="s">
        <v>65</v>
      </c>
      <c r="E7" s="60" t="s">
        <v>56</v>
      </c>
      <c r="F7" s="71" t="s">
        <v>66</v>
      </c>
      <c r="G7" s="141"/>
    </row>
    <row r="8" spans="1:7" x14ac:dyDescent="0.2">
      <c r="A8" s="154" t="str">
        <f>O_KE_Response_vals!A4</f>
        <v>HiRes</v>
      </c>
      <c r="B8" s="154">
        <f>O_KE_Response_vals!B4</f>
        <v>1</v>
      </c>
      <c r="C8" s="154">
        <f>O_KE_Response_vals!C4</f>
        <v>3.4700000000000002E-2</v>
      </c>
      <c r="D8" s="154">
        <f>O_KE_Response_vals!F4</f>
        <v>1.07130978663874</v>
      </c>
      <c r="E8" s="155">
        <f>O_KE_Response_vals!H4</f>
        <v>7.8548965833154794E-5</v>
      </c>
      <c r="F8" s="156">
        <f>E8*D8*$B$2*$B$3*$B$4</f>
        <v>3.1115757838024813E-5</v>
      </c>
      <c r="G8" s="166" t="s">
        <v>67</v>
      </c>
    </row>
    <row r="9" spans="1:7" x14ac:dyDescent="0.2">
      <c r="A9" s="65" t="str">
        <f>O_KE_Response_vals!A5</f>
        <v>HiRes</v>
      </c>
      <c r="B9" s="50">
        <f>O_KE_Response_vals!B5</f>
        <v>2</v>
      </c>
      <c r="C9" s="50">
        <f>O_KE_Response_vals!C5</f>
        <v>6.7000000000000004E-2</v>
      </c>
      <c r="D9" s="50">
        <f>O_KE_Response_vals!F5</f>
        <v>0.97080426144898302</v>
      </c>
      <c r="E9" s="51">
        <f>O_KE_Response_vals!H5</f>
        <v>1.3945174154359101E-4</v>
      </c>
      <c r="F9" s="66">
        <f t="shared" ref="F9:F21" si="0">E9*D9*$B$2*$B$3*$B$4</f>
        <v>5.005880240190653E-5</v>
      </c>
      <c r="G9" s="167" t="s">
        <v>67</v>
      </c>
    </row>
    <row r="10" spans="1:7" x14ac:dyDescent="0.2">
      <c r="A10" s="65" t="str">
        <f>O_KE_Response_vals!A6</f>
        <v>HiRes</v>
      </c>
      <c r="B10" s="50">
        <f>O_KE_Response_vals!B6</f>
        <v>3</v>
      </c>
      <c r="C10" s="50">
        <f>O_KE_Response_vals!C6</f>
        <v>0.12870000000000001</v>
      </c>
      <c r="D10" s="50">
        <f>O_KE_Response_vals!F6</f>
        <v>1.00661811168101</v>
      </c>
      <c r="E10" s="51">
        <f>O_KE_Response_vals!H6</f>
        <v>2.2584742661159701E-4</v>
      </c>
      <c r="F10" s="66">
        <f t="shared" ref="F10:F11" si="1">E10*D10*$B$2*$B$3*$B$4</f>
        <v>8.4062969191963185E-5</v>
      </c>
      <c r="G10" s="167" t="s">
        <v>67</v>
      </c>
    </row>
    <row r="11" spans="1:7" x14ac:dyDescent="0.2">
      <c r="A11" s="65" t="str">
        <f>O_KE_Response_vals!A7</f>
        <v>HiRes</v>
      </c>
      <c r="B11" s="50">
        <f>O_KE_Response_vals!B7</f>
        <v>4</v>
      </c>
      <c r="C11" s="50">
        <f>O_KE_Response_vals!C7</f>
        <v>0.25330000000000003</v>
      </c>
      <c r="D11" s="50">
        <f>O_KE_Response_vals!F7</f>
        <v>1.0400547294809801</v>
      </c>
      <c r="E11" s="51">
        <f>O_KE_Response_vals!H7</f>
        <v>3.52770960935085E-4</v>
      </c>
      <c r="F11" s="66">
        <f t="shared" si="1"/>
        <v>1.3566688716410856E-4</v>
      </c>
      <c r="G11" s="167" t="s">
        <v>67</v>
      </c>
    </row>
    <row r="12" spans="1:7" x14ac:dyDescent="0.2">
      <c r="A12" s="65" t="str">
        <f>O_KE_Response_vals!A8</f>
        <v>HiRes</v>
      </c>
      <c r="B12" s="50">
        <f>O_KE_Response_vals!B8</f>
        <v>5</v>
      </c>
      <c r="C12" s="50">
        <f>O_KE_Response_vals!C8</f>
        <v>0.4884</v>
      </c>
      <c r="D12" s="50">
        <f>O_KE_Response_vals!F8</f>
        <v>1.08400409633184</v>
      </c>
      <c r="E12" s="51">
        <f>O_KE_Response_vals!H8</f>
        <v>5.1762006917347803E-4</v>
      </c>
      <c r="F12" s="66">
        <f t="shared" ref="F12" si="2">E12*D12*$B$2*$B$3*$B$4</f>
        <v>2.0747552339896088E-4</v>
      </c>
      <c r="G12" s="167" t="s">
        <v>67</v>
      </c>
    </row>
    <row r="13" spans="1:7" x14ac:dyDescent="0.2">
      <c r="A13" s="67" t="str">
        <f>O_KE_Response_vals!A9</f>
        <v>HiRes</v>
      </c>
      <c r="B13" s="37">
        <f>O_KE_Response_vals!B9</f>
        <v>6</v>
      </c>
      <c r="C13" s="37">
        <f>O_KE_Response_vals!C9</f>
        <v>1</v>
      </c>
      <c r="D13" s="37">
        <f>O_KE_Response_vals!F9</f>
        <v>1.2004294528828301</v>
      </c>
      <c r="E13" s="49">
        <f>O_KE_Response_vals!H9</f>
        <v>8.7118478717481296E-4</v>
      </c>
      <c r="F13" s="68">
        <f>E13*D13*$B$2*$B$3*$B$4</f>
        <v>3.8669785630646663E-4</v>
      </c>
      <c r="G13" s="174"/>
    </row>
    <row r="14" spans="1:7" x14ac:dyDescent="0.2">
      <c r="A14" s="67" t="str">
        <f>O_KE_Response_vals!A10</f>
        <v>HiRes</v>
      </c>
      <c r="B14" s="37">
        <f>O_KE_Response_vals!B10</f>
        <v>7</v>
      </c>
      <c r="C14" s="37">
        <f>O_KE_Response_vals!C10</f>
        <v>1.9378</v>
      </c>
      <c r="D14" s="37">
        <f>O_KE_Response_vals!F10</f>
        <v>1.18442497969773</v>
      </c>
      <c r="E14" s="49">
        <f>O_KE_Response_vals!H10</f>
        <v>1.36817724184701E-3</v>
      </c>
      <c r="F14" s="68">
        <f t="shared" si="0"/>
        <v>5.9920407653778446E-4</v>
      </c>
      <c r="G14" s="174"/>
    </row>
    <row r="15" spans="1:7" x14ac:dyDescent="0.2">
      <c r="A15" s="65" t="str">
        <f>O_KE_Response_vals!A11</f>
        <v>HiTh</v>
      </c>
      <c r="B15" s="50">
        <f>O_KE_Response_vals!B11</f>
        <v>1</v>
      </c>
      <c r="C15" s="50">
        <f>O_KE_Response_vals!C11</f>
        <v>3.4700000000000002E-2</v>
      </c>
      <c r="D15" s="50">
        <f>O_KE_Response_vals!F11</f>
        <v>1.6484054909305801</v>
      </c>
      <c r="E15" s="51">
        <f>O_KE_Response_vals!H11</f>
        <v>1.2955015229463199E-4</v>
      </c>
      <c r="F15" s="66">
        <f t="shared" si="0"/>
        <v>7.8963578099304818E-5</v>
      </c>
      <c r="G15" s="167" t="s">
        <v>67</v>
      </c>
    </row>
    <row r="16" spans="1:7" x14ac:dyDescent="0.2">
      <c r="A16" s="65" t="str">
        <f>O_KE_Response_vals!A12</f>
        <v>HiTh</v>
      </c>
      <c r="B16" s="50">
        <f>O_KE_Response_vals!B12</f>
        <v>2</v>
      </c>
      <c r="C16" s="50">
        <f>O_KE_Response_vals!C12</f>
        <v>6.7000000000000004E-2</v>
      </c>
      <c r="D16" s="50">
        <f>O_KE_Response_vals!F12</f>
        <v>1.5484449870479999</v>
      </c>
      <c r="E16" s="51">
        <f>O_KE_Response_vals!H12</f>
        <v>2.2308805622065501E-4</v>
      </c>
      <c r="F16" s="66">
        <f t="shared" si="0"/>
        <v>1.2773118430821318E-4</v>
      </c>
      <c r="G16" s="167" t="s">
        <v>67</v>
      </c>
    </row>
    <row r="17" spans="1:7" x14ac:dyDescent="0.2">
      <c r="A17" s="65" t="str">
        <f>O_KE_Response_vals!A13</f>
        <v>HiTh</v>
      </c>
      <c r="B17" s="50">
        <f>O_KE_Response_vals!B13</f>
        <v>3</v>
      </c>
      <c r="C17" s="50">
        <f>O_KE_Response_vals!C13</f>
        <v>0.12870000000000001</v>
      </c>
      <c r="D17" s="50">
        <f>O_KE_Response_vals!F13</f>
        <v>1.4806663376415099</v>
      </c>
      <c r="E17" s="51">
        <f>O_KE_Response_vals!H13</f>
        <v>3.83275694143815E-4</v>
      </c>
      <c r="F17" s="66">
        <f t="shared" ref="F17:F19" si="3">E17*D17*$B$2*$B$3*$B$4</f>
        <v>2.0984243680911802E-4</v>
      </c>
      <c r="G17" s="167" t="s">
        <v>67</v>
      </c>
    </row>
    <row r="18" spans="1:7" x14ac:dyDescent="0.2">
      <c r="A18" s="65" t="str">
        <f>O_KE_Response_vals!A14</f>
        <v>HiTh</v>
      </c>
      <c r="B18" s="50">
        <f>O_KE_Response_vals!B14</f>
        <v>4</v>
      </c>
      <c r="C18" s="50">
        <f>O_KE_Response_vals!C14</f>
        <v>0.25330000000000003</v>
      </c>
      <c r="D18" s="50">
        <f>O_KE_Response_vals!F14</f>
        <v>1.5673893136789701</v>
      </c>
      <c r="E18" s="51">
        <f>O_KE_Response_vals!H14</f>
        <v>6.4473833422031305E-4</v>
      </c>
      <c r="F18" s="66">
        <f t="shared" si="3"/>
        <v>3.7366740270512586E-4</v>
      </c>
      <c r="G18" s="167" t="s">
        <v>67</v>
      </c>
    </row>
    <row r="19" spans="1:7" x14ac:dyDescent="0.2">
      <c r="A19" s="65" t="str">
        <f>O_KE_Response_vals!A15</f>
        <v>HiTh</v>
      </c>
      <c r="B19" s="50">
        <f>O_KE_Response_vals!B15</f>
        <v>5</v>
      </c>
      <c r="C19" s="50">
        <f>O_KE_Response_vals!C15</f>
        <v>0.4884</v>
      </c>
      <c r="D19" s="50">
        <f>O_KE_Response_vals!F15</f>
        <v>1.5806102221201299</v>
      </c>
      <c r="E19" s="51">
        <f>O_KE_Response_vals!H15</f>
        <v>1.0423579948235799E-3</v>
      </c>
      <c r="F19" s="66">
        <f t="shared" si="3"/>
        <v>6.092093035948914E-4</v>
      </c>
      <c r="G19" s="167" t="s">
        <v>67</v>
      </c>
    </row>
    <row r="20" spans="1:7" x14ac:dyDescent="0.2">
      <c r="A20" s="67" t="str">
        <f>O_KE_Response_vals!A16</f>
        <v>HiTh</v>
      </c>
      <c r="B20" s="37">
        <f>O_KE_Response_vals!B16</f>
        <v>6</v>
      </c>
      <c r="C20" s="37">
        <f>O_KE_Response_vals!C16</f>
        <v>1</v>
      </c>
      <c r="D20" s="37">
        <f>O_KE_Response_vals!F16</f>
        <v>1.65593015237868</v>
      </c>
      <c r="E20" s="49">
        <f>O_KE_Response_vals!H16</f>
        <v>1.70418797194293E-3</v>
      </c>
      <c r="F20" s="68">
        <f t="shared" si="0"/>
        <v>1.0434805272622335E-3</v>
      </c>
      <c r="G20" s="174"/>
    </row>
    <row r="21" spans="1:7" ht="16" thickBot="1" x14ac:dyDescent="0.25">
      <c r="A21" s="45" t="str">
        <f>O_KE_Response_vals!A17</f>
        <v>HiTh</v>
      </c>
      <c r="B21" s="46">
        <f>O_KE_Response_vals!B17</f>
        <v>7</v>
      </c>
      <c r="C21" s="46">
        <f>O_KE_Response_vals!C17</f>
        <v>1.9378</v>
      </c>
      <c r="D21" s="46">
        <f>O_KE_Response_vals!F17</f>
        <v>1.5834270695432</v>
      </c>
      <c r="E21" s="69">
        <f>O_KE_Response_vals!H17</f>
        <v>2.7281263655931799E-3</v>
      </c>
      <c r="F21" s="70">
        <f t="shared" si="0"/>
        <v>1.597303292929058E-3</v>
      </c>
      <c r="G21" s="175"/>
    </row>
    <row r="25" spans="1:7" x14ac:dyDescent="0.2">
      <c r="D25">
        <f>0.367 * 0.635</f>
        <v>0.233045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D767-011E-4EC1-B31B-BBC5B39694AF}">
  <dimension ref="A1:L27"/>
  <sheetViews>
    <sheetView topLeftCell="A18" workbookViewId="0">
      <selection activeCell="D27" sqref="D27:J27"/>
    </sheetView>
  </sheetViews>
  <sheetFormatPr baseColWidth="10" defaultColWidth="8.83203125" defaultRowHeight="15" x14ac:dyDescent="0.2"/>
  <cols>
    <col min="1" max="1" width="11.5" customWidth="1"/>
    <col min="2" max="2" width="12.6640625" customWidth="1"/>
    <col min="3" max="3" width="12" customWidth="1"/>
    <col min="4" max="4" width="17.33203125" style="83" customWidth="1"/>
    <col min="5" max="5" width="16.33203125" style="3" customWidth="1"/>
    <col min="6" max="9" width="18.6640625" style="3" customWidth="1"/>
    <col min="10" max="10" width="11.1640625" customWidth="1"/>
    <col min="11" max="11" width="16.83203125" style="17" customWidth="1"/>
    <col min="16" max="16" width="10.5" customWidth="1"/>
  </cols>
  <sheetData>
    <row r="1" spans="1:12" s="32" customFormat="1" ht="16" thickBot="1" x14ac:dyDescent="0.25">
      <c r="A1" s="55" t="s">
        <v>176</v>
      </c>
      <c r="B1" s="56"/>
      <c r="C1" s="56"/>
      <c r="D1" s="138"/>
      <c r="E1" s="33"/>
      <c r="F1" s="33"/>
      <c r="G1" s="33"/>
      <c r="H1" s="33"/>
      <c r="I1" s="33"/>
      <c r="K1" s="163"/>
    </row>
    <row r="2" spans="1:12" ht="16" thickBot="1" x14ac:dyDescent="0.25">
      <c r="A2" s="158"/>
      <c r="B2" s="39"/>
      <c r="C2" s="39"/>
      <c r="D2" s="83" t="s">
        <v>57</v>
      </c>
      <c r="K2" s="17" t="s">
        <v>177</v>
      </c>
    </row>
    <row r="3" spans="1:12" s="32" customFormat="1" ht="16" thickBot="1" x14ac:dyDescent="0.25">
      <c r="A3" s="55" t="str">
        <f>H_KE_Response_vals!A3</f>
        <v>E_mode</v>
      </c>
      <c r="B3" s="56" t="str">
        <f>H_KE_Response_vals!B3</f>
        <v>estep</v>
      </c>
      <c r="C3" s="56" t="str">
        <f>H_KE_Response_vals!C3</f>
        <v xml:space="preserve">scale_fact </v>
      </c>
      <c r="D3" s="144" t="s">
        <v>178</v>
      </c>
      <c r="E3" s="145" t="s">
        <v>62</v>
      </c>
      <c r="F3" s="145" t="s">
        <v>60</v>
      </c>
      <c r="G3" s="145" t="s">
        <v>179</v>
      </c>
      <c r="H3" s="145" t="s">
        <v>180</v>
      </c>
      <c r="I3" s="145" t="s">
        <v>181</v>
      </c>
      <c r="J3" s="145" t="s">
        <v>61</v>
      </c>
      <c r="K3" s="164" t="s">
        <v>63</v>
      </c>
    </row>
    <row r="4" spans="1:12" s="15" customFormat="1" ht="16" thickBot="1" x14ac:dyDescent="0.25">
      <c r="A4" s="58"/>
      <c r="B4" s="59"/>
      <c r="C4" s="59" t="s">
        <v>64</v>
      </c>
      <c r="D4" s="84" t="s">
        <v>182</v>
      </c>
      <c r="E4" s="16" t="s">
        <v>183</v>
      </c>
      <c r="F4" s="16" t="s">
        <v>184</v>
      </c>
      <c r="G4" s="16" t="s">
        <v>185</v>
      </c>
      <c r="H4" s="16" t="s">
        <v>186</v>
      </c>
      <c r="I4" s="16" t="s">
        <v>187</v>
      </c>
      <c r="J4" s="15" t="s">
        <v>188</v>
      </c>
      <c r="K4" s="165"/>
      <c r="L4" s="15" t="s">
        <v>32</v>
      </c>
    </row>
    <row r="5" spans="1:12" x14ac:dyDescent="0.2">
      <c r="A5" s="176" t="str">
        <f>O_KE_Response_vals!A4</f>
        <v>HiRes</v>
      </c>
      <c r="B5" s="176">
        <f>O_KE_Response_vals!B4</f>
        <v>1</v>
      </c>
      <c r="C5" s="177">
        <f>O_KE_Response_vals!C4</f>
        <v>3.4700000000000002E-2</v>
      </c>
      <c r="D5" s="178">
        <v>0.63036584166415599</v>
      </c>
      <c r="E5" s="179" t="s">
        <v>189</v>
      </c>
      <c r="F5" s="179" t="s">
        <v>189</v>
      </c>
      <c r="G5" s="180">
        <v>0.14285700000000001</v>
      </c>
      <c r="H5" s="180">
        <v>9.1129000000000002E-2</v>
      </c>
      <c r="I5" s="180">
        <v>0.12822600000000001</v>
      </c>
      <c r="J5" s="181">
        <v>4.2133999999999998E-2</v>
      </c>
      <c r="K5" s="182">
        <f t="shared" ref="K5:K18" si="0">SQRT(SUMSQ(D5:J5))</f>
        <v>0.66655149272877623</v>
      </c>
      <c r="L5" t="s">
        <v>190</v>
      </c>
    </row>
    <row r="6" spans="1:12" x14ac:dyDescent="0.2">
      <c r="A6" s="183" t="str">
        <f>O_KE_Response_vals!A5</f>
        <v>HiRes</v>
      </c>
      <c r="B6" s="184">
        <f>O_KE_Response_vals!B5</f>
        <v>2</v>
      </c>
      <c r="C6" s="185">
        <f>O_KE_Response_vals!C5</f>
        <v>6.7000000000000004E-2</v>
      </c>
      <c r="D6" s="183">
        <v>0.43856757630292398</v>
      </c>
      <c r="E6" s="184" t="s">
        <v>189</v>
      </c>
      <c r="F6" s="184" t="s">
        <v>189</v>
      </c>
      <c r="G6" s="185">
        <v>0.119048</v>
      </c>
      <c r="H6" s="185">
        <v>9.1129000000000002E-2</v>
      </c>
      <c r="I6" s="185">
        <v>0.12822600000000001</v>
      </c>
      <c r="J6" s="186">
        <v>4.2133999999999998E-2</v>
      </c>
      <c r="K6" s="182">
        <f t="shared" si="0"/>
        <v>0.48273763159838806</v>
      </c>
    </row>
    <row r="7" spans="1:12" x14ac:dyDescent="0.2">
      <c r="A7" s="183" t="str">
        <f>O_KE_Response_vals!A6</f>
        <v>HiRes</v>
      </c>
      <c r="B7" s="184">
        <f>O_KE_Response_vals!B6</f>
        <v>3</v>
      </c>
      <c r="C7" s="185">
        <f>O_KE_Response_vals!C6</f>
        <v>0.12870000000000001</v>
      </c>
      <c r="D7" s="183">
        <v>0.45279860202537903</v>
      </c>
      <c r="E7" s="184" t="s">
        <v>189</v>
      </c>
      <c r="F7" s="184" t="s">
        <v>189</v>
      </c>
      <c r="G7" s="187">
        <v>0.114382</v>
      </c>
      <c r="H7" s="185">
        <v>9.1129000000000002E-2</v>
      </c>
      <c r="I7" s="185">
        <v>0.12822600000000001</v>
      </c>
      <c r="J7" s="186">
        <v>4.2133999999999998E-2</v>
      </c>
      <c r="K7" s="182">
        <f t="shared" si="0"/>
        <v>0.49460235704365335</v>
      </c>
    </row>
    <row r="8" spans="1:12" x14ac:dyDescent="0.2">
      <c r="A8" s="183" t="str">
        <f>O_KE_Response_vals!A7</f>
        <v>HiRes</v>
      </c>
      <c r="B8" s="184">
        <f>O_KE_Response_vals!B7</f>
        <v>4</v>
      </c>
      <c r="C8" s="185">
        <f>O_KE_Response_vals!C7</f>
        <v>0.25330000000000003</v>
      </c>
      <c r="D8" s="183">
        <v>0.36587765587704502</v>
      </c>
      <c r="E8" s="184" t="s">
        <v>189</v>
      </c>
      <c r="F8" s="184" t="s">
        <v>189</v>
      </c>
      <c r="G8" s="185">
        <v>0.128859</v>
      </c>
      <c r="H8" s="185">
        <v>9.1129000000000002E-2</v>
      </c>
      <c r="I8" s="185">
        <v>0.12822600000000001</v>
      </c>
      <c r="J8" s="186">
        <v>4.2133999999999998E-2</v>
      </c>
      <c r="K8" s="182">
        <f t="shared" si="0"/>
        <v>0.42070509460200428</v>
      </c>
    </row>
    <row r="9" spans="1:12" x14ac:dyDescent="0.2">
      <c r="A9" s="183" t="str">
        <f>O_KE_Response_vals!A8</f>
        <v>HiRes</v>
      </c>
      <c r="B9" s="184">
        <f>O_KE_Response_vals!B8</f>
        <v>5</v>
      </c>
      <c r="C9" s="185">
        <f>O_KE_Response_vals!C8</f>
        <v>0.4884</v>
      </c>
      <c r="D9" s="183">
        <v>0.320574107904609</v>
      </c>
      <c r="E9" s="184" t="s">
        <v>189</v>
      </c>
      <c r="F9" s="184" t="s">
        <v>189</v>
      </c>
      <c r="G9" s="188">
        <v>0.128859</v>
      </c>
      <c r="H9" s="185">
        <v>9.1129000000000002E-2</v>
      </c>
      <c r="I9" s="185">
        <v>0.12822600000000001</v>
      </c>
      <c r="J9" s="186">
        <v>4.2133999999999998E-2</v>
      </c>
      <c r="K9" s="182">
        <f t="shared" si="0"/>
        <v>0.38196083073115739</v>
      </c>
    </row>
    <row r="10" spans="1:12" x14ac:dyDescent="0.2">
      <c r="A10" s="189" t="str">
        <f>O_KE_Response_vals!A9</f>
        <v>HiRes</v>
      </c>
      <c r="B10" s="190">
        <f>O_KE_Response_vals!B9</f>
        <v>6</v>
      </c>
      <c r="C10" s="191">
        <f>O_KE_Response_vals!C9</f>
        <v>1</v>
      </c>
      <c r="D10" s="192">
        <v>0.177174</v>
      </c>
      <c r="E10" s="193">
        <v>0.115979</v>
      </c>
      <c r="F10" s="193">
        <v>0.11407200000000001</v>
      </c>
      <c r="G10" s="193" t="s">
        <v>189</v>
      </c>
      <c r="H10" s="193" t="s">
        <v>189</v>
      </c>
      <c r="I10" s="193" t="s">
        <v>189</v>
      </c>
      <c r="J10" s="194">
        <v>4.2133999999999998E-2</v>
      </c>
      <c r="K10" s="195">
        <f t="shared" si="0"/>
        <v>0.24419142052291681</v>
      </c>
    </row>
    <row r="11" spans="1:12" x14ac:dyDescent="0.2">
      <c r="A11" s="189" t="str">
        <f>O_KE_Response_vals!A10</f>
        <v>HiRes</v>
      </c>
      <c r="B11" s="190">
        <f>O_KE_Response_vals!B10</f>
        <v>7</v>
      </c>
      <c r="C11" s="191">
        <f>O_KE_Response_vals!C10</f>
        <v>1.9378</v>
      </c>
      <c r="D11" s="192">
        <v>0.102615</v>
      </c>
      <c r="E11" s="193">
        <v>2.5302000000000002E-2</v>
      </c>
      <c r="F11" s="193">
        <v>1.1388000000000001E-2</v>
      </c>
      <c r="G11" s="193" t="s">
        <v>189</v>
      </c>
      <c r="H11" s="193" t="s">
        <v>189</v>
      </c>
      <c r="I11" s="193" t="s">
        <v>189</v>
      </c>
      <c r="J11" s="194">
        <v>4.2133999999999998E-2</v>
      </c>
      <c r="K11" s="195">
        <f t="shared" si="0"/>
        <v>0.11434592222287597</v>
      </c>
    </row>
    <row r="12" spans="1:12" x14ac:dyDescent="0.2">
      <c r="A12" s="183" t="str">
        <f>O_KE_Response_vals!A11</f>
        <v>HiTh</v>
      </c>
      <c r="B12" s="184">
        <f>O_KE_Response_vals!B11</f>
        <v>1</v>
      </c>
      <c r="C12" s="185">
        <f>O_KE_Response_vals!C11</f>
        <v>3.4700000000000002E-2</v>
      </c>
      <c r="D12" s="183">
        <v>0.63036584166415599</v>
      </c>
      <c r="E12" s="184" t="s">
        <v>189</v>
      </c>
      <c r="F12" s="184" t="s">
        <v>189</v>
      </c>
      <c r="G12" s="185">
        <v>0.14285700000000001</v>
      </c>
      <c r="H12" s="185">
        <v>9.1129000000000002E-2</v>
      </c>
      <c r="I12" s="185">
        <v>0.12822600000000001</v>
      </c>
      <c r="J12" s="186">
        <v>4.2133999999999998E-2</v>
      </c>
      <c r="K12" s="182">
        <f t="shared" si="0"/>
        <v>0.66655149272877623</v>
      </c>
    </row>
    <row r="13" spans="1:12" x14ac:dyDescent="0.2">
      <c r="A13" s="183" t="str">
        <f>O_KE_Response_vals!A12</f>
        <v>HiTh</v>
      </c>
      <c r="B13" s="184">
        <f>O_KE_Response_vals!B12</f>
        <v>2</v>
      </c>
      <c r="C13" s="185">
        <f>O_KE_Response_vals!C12</f>
        <v>6.7000000000000004E-2</v>
      </c>
      <c r="D13" s="183">
        <v>0.43856757630292398</v>
      </c>
      <c r="E13" s="184" t="s">
        <v>189</v>
      </c>
      <c r="F13" s="184" t="s">
        <v>189</v>
      </c>
      <c r="G13" s="185">
        <v>0.119048</v>
      </c>
      <c r="H13" s="185">
        <v>9.1129000000000002E-2</v>
      </c>
      <c r="I13" s="185">
        <v>0.12822600000000001</v>
      </c>
      <c r="J13" s="186">
        <v>4.2133999999999998E-2</v>
      </c>
      <c r="K13" s="182">
        <f t="shared" si="0"/>
        <v>0.48273763159838806</v>
      </c>
    </row>
    <row r="14" spans="1:12" x14ac:dyDescent="0.2">
      <c r="A14" s="183" t="str">
        <f>O_KE_Response_vals!A13</f>
        <v>HiTh</v>
      </c>
      <c r="B14" s="184">
        <f>O_KE_Response_vals!B13</f>
        <v>3</v>
      </c>
      <c r="C14" s="185">
        <f>O_KE_Response_vals!C13</f>
        <v>0.12870000000000001</v>
      </c>
      <c r="D14" s="183">
        <v>0.45279860202537903</v>
      </c>
      <c r="E14" s="184" t="s">
        <v>189</v>
      </c>
      <c r="F14" s="184" t="s">
        <v>189</v>
      </c>
      <c r="G14" s="187">
        <v>0.114382</v>
      </c>
      <c r="H14" s="185">
        <v>9.1129000000000002E-2</v>
      </c>
      <c r="I14" s="185">
        <v>0.12822600000000001</v>
      </c>
      <c r="J14" s="186">
        <v>4.2133999999999998E-2</v>
      </c>
      <c r="K14" s="182">
        <f t="shared" si="0"/>
        <v>0.49460235704365335</v>
      </c>
    </row>
    <row r="15" spans="1:12" x14ac:dyDescent="0.2">
      <c r="A15" s="183" t="str">
        <f>O_KE_Response_vals!A14</f>
        <v>HiTh</v>
      </c>
      <c r="B15" s="184">
        <f>O_KE_Response_vals!B14</f>
        <v>4</v>
      </c>
      <c r="C15" s="185">
        <f>O_KE_Response_vals!C14</f>
        <v>0.25330000000000003</v>
      </c>
      <c r="D15" s="183">
        <v>0.36587765587704502</v>
      </c>
      <c r="E15" s="184" t="s">
        <v>189</v>
      </c>
      <c r="F15" s="184" t="s">
        <v>189</v>
      </c>
      <c r="G15" s="185">
        <v>0.128859</v>
      </c>
      <c r="H15" s="185">
        <v>9.1129000000000002E-2</v>
      </c>
      <c r="I15" s="185">
        <v>0.12822600000000001</v>
      </c>
      <c r="J15" s="186">
        <v>4.2133999999999998E-2</v>
      </c>
      <c r="K15" s="182">
        <f t="shared" si="0"/>
        <v>0.42070509460200428</v>
      </c>
    </row>
    <row r="16" spans="1:12" x14ac:dyDescent="0.2">
      <c r="A16" s="183" t="str">
        <f>O_KE_Response_vals!A15</f>
        <v>HiTh</v>
      </c>
      <c r="B16" s="184">
        <f>O_KE_Response_vals!B15</f>
        <v>5</v>
      </c>
      <c r="C16" s="185">
        <f>O_KE_Response_vals!C15</f>
        <v>0.4884</v>
      </c>
      <c r="D16" s="183">
        <v>0.320574107904609</v>
      </c>
      <c r="E16" s="184" t="s">
        <v>189</v>
      </c>
      <c r="F16" s="184" t="s">
        <v>189</v>
      </c>
      <c r="G16" s="188">
        <v>0.128859</v>
      </c>
      <c r="H16" s="185">
        <v>9.1129000000000002E-2</v>
      </c>
      <c r="I16" s="185">
        <v>0.12822600000000001</v>
      </c>
      <c r="J16" s="186">
        <v>4.2133999999999998E-2</v>
      </c>
      <c r="K16" s="182">
        <f t="shared" si="0"/>
        <v>0.38196083073115739</v>
      </c>
    </row>
    <row r="17" spans="1:11" x14ac:dyDescent="0.2">
      <c r="A17" s="189" t="str">
        <f>O_KE_Response_vals!A16</f>
        <v>HiTh</v>
      </c>
      <c r="B17" s="190">
        <f>O_KE_Response_vals!B16</f>
        <v>6</v>
      </c>
      <c r="C17" s="191">
        <f>O_KE_Response_vals!C16</f>
        <v>1</v>
      </c>
      <c r="D17" s="192">
        <v>0.181889</v>
      </c>
      <c r="E17" s="193">
        <v>9.4645999999999994E-2</v>
      </c>
      <c r="F17" s="193">
        <v>0.11407200000000001</v>
      </c>
      <c r="G17" s="193" t="s">
        <v>189</v>
      </c>
      <c r="H17" s="193" t="s">
        <v>189</v>
      </c>
      <c r="I17" s="193" t="s">
        <v>189</v>
      </c>
      <c r="J17" s="194">
        <v>4.2133999999999998E-2</v>
      </c>
      <c r="K17" s="195">
        <f t="shared" si="0"/>
        <v>0.23838869263662654</v>
      </c>
    </row>
    <row r="18" spans="1:11" ht="16" thickBot="1" x14ac:dyDescent="0.25">
      <c r="A18" s="196" t="str">
        <f>O_KE_Response_vals!A17</f>
        <v>HiTh</v>
      </c>
      <c r="B18" s="197">
        <f>O_KE_Response_vals!B17</f>
        <v>7</v>
      </c>
      <c r="C18" s="198">
        <f>O_KE_Response_vals!C17</f>
        <v>1.9378</v>
      </c>
      <c r="D18" s="199">
        <v>0.16828099999999999</v>
      </c>
      <c r="E18" s="200">
        <v>2.0642000000000001E-2</v>
      </c>
      <c r="F18" s="200">
        <v>1.1388000000000001E-2</v>
      </c>
      <c r="G18" s="200" t="s">
        <v>189</v>
      </c>
      <c r="H18" s="200" t="s">
        <v>189</v>
      </c>
      <c r="I18" s="200" t="s">
        <v>189</v>
      </c>
      <c r="J18" s="201">
        <v>4.2133999999999998E-2</v>
      </c>
      <c r="K18" s="202">
        <f t="shared" si="0"/>
        <v>0.17507012202257699</v>
      </c>
    </row>
    <row r="20" spans="1:11" x14ac:dyDescent="0.2">
      <c r="D20" s="168"/>
      <c r="E20" s="3" t="s">
        <v>191</v>
      </c>
    </row>
    <row r="21" spans="1:11" x14ac:dyDescent="0.2">
      <c r="D21" s="169"/>
      <c r="E21" s="3" t="s">
        <v>192</v>
      </c>
    </row>
    <row r="23" spans="1:11" ht="16" thickBot="1" x14ac:dyDescent="0.25"/>
    <row r="24" spans="1:11" ht="16" x14ac:dyDescent="0.2">
      <c r="D24" s="18" t="s">
        <v>193</v>
      </c>
      <c r="E24" s="6" t="s">
        <v>194</v>
      </c>
      <c r="F24" s="6"/>
      <c r="G24" s="79"/>
      <c r="H24" s="79"/>
      <c r="I24" s="79"/>
      <c r="J24" s="79"/>
    </row>
    <row r="25" spans="1:11" x14ac:dyDescent="0.2">
      <c r="D25" s="21"/>
      <c r="E25" t="s">
        <v>195</v>
      </c>
      <c r="F25"/>
      <c r="J25" s="3"/>
    </row>
    <row r="26" spans="1:11" x14ac:dyDescent="0.2">
      <c r="D26" s="21"/>
      <c r="E26" t="s">
        <v>196</v>
      </c>
      <c r="F26"/>
      <c r="J26" s="3"/>
    </row>
    <row r="27" spans="1:11" x14ac:dyDescent="0.2">
      <c r="D27" s="209"/>
      <c r="E27" s="210" t="s">
        <v>197</v>
      </c>
      <c r="F27" s="210"/>
      <c r="G27" s="210"/>
      <c r="H27" s="210"/>
      <c r="I27" s="210"/>
      <c r="J27" s="211"/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20DF-18D6-427B-A47E-DA5987959828}">
  <dimension ref="A1:H39"/>
  <sheetViews>
    <sheetView topLeftCell="A7" workbookViewId="0">
      <selection activeCell="F11" sqref="F11"/>
    </sheetView>
  </sheetViews>
  <sheetFormatPr baseColWidth="10" defaultColWidth="8.83203125" defaultRowHeight="15" x14ac:dyDescent="0.2"/>
  <cols>
    <col min="1" max="1" width="9.6640625" customWidth="1"/>
    <col min="2" max="2" width="20.33203125" customWidth="1"/>
    <col min="3" max="3" width="17.5" customWidth="1"/>
    <col min="4" max="4" width="15.83203125" style="1" customWidth="1"/>
    <col min="5" max="5" width="25.6640625" style="1" customWidth="1"/>
    <col min="6" max="6" width="24.5" style="3" customWidth="1"/>
    <col min="7" max="7" width="11.33203125" style="3" customWidth="1"/>
    <col min="8" max="8" width="17.5" style="3" customWidth="1"/>
  </cols>
  <sheetData>
    <row r="1" spans="1:8" s="15" customFormat="1" ht="17" thickBot="1" x14ac:dyDescent="0.25">
      <c r="B1" s="14" t="s">
        <v>198</v>
      </c>
      <c r="C1" s="15" t="s">
        <v>199</v>
      </c>
      <c r="D1" s="87" t="s">
        <v>31</v>
      </c>
      <c r="E1" s="88" t="s">
        <v>32</v>
      </c>
      <c r="F1" s="16"/>
      <c r="G1" s="16"/>
      <c r="H1" s="16"/>
    </row>
    <row r="2" spans="1:8" ht="32" x14ac:dyDescent="0.2">
      <c r="B2" s="8" t="s">
        <v>200</v>
      </c>
      <c r="C2">
        <v>1</v>
      </c>
      <c r="E2" s="12" t="s">
        <v>201</v>
      </c>
      <c r="F2" s="83"/>
      <c r="G2" s="3" t="s">
        <v>202</v>
      </c>
      <c r="H2" s="22" t="s">
        <v>203</v>
      </c>
    </row>
    <row r="3" spans="1:8" ht="33" thickBot="1" x14ac:dyDescent="0.25">
      <c r="B3" s="8" t="s">
        <v>204</v>
      </c>
      <c r="C3">
        <v>1</v>
      </c>
      <c r="E3" s="12" t="s">
        <v>205</v>
      </c>
      <c r="F3" s="83" t="s">
        <v>206</v>
      </c>
      <c r="G3" s="3">
        <f>0.14/0.17</f>
        <v>0.82352941176470595</v>
      </c>
      <c r="H3" s="22">
        <f>AVERAGE('H GF'!D15:D21)/AVERAGE('H GF'!D8:D13)*AVERAGE('H GF'!F14:F21)/AVERAGE('H GF'!F8:F14)*G3</f>
        <v>2.9148877875468142</v>
      </c>
    </row>
    <row r="4" spans="1:8" ht="16" thickBot="1" x14ac:dyDescent="0.25">
      <c r="B4" s="8" t="s">
        <v>38</v>
      </c>
      <c r="C4">
        <f>0.6/0.5</f>
        <v>1.2</v>
      </c>
      <c r="E4" s="12"/>
      <c r="F4" s="84" t="s">
        <v>207</v>
      </c>
      <c r="G4" s="16">
        <f>PRODUCT($C2:$C6)*G3</f>
        <v>2.5786596684375604</v>
      </c>
      <c r="H4" s="85">
        <f>PRODUCT($C2:$C6)*H3</f>
        <v>9.1271829134327671</v>
      </c>
    </row>
    <row r="5" spans="1:8" x14ac:dyDescent="0.2">
      <c r="B5" s="8" t="s">
        <v>208</v>
      </c>
      <c r="C5">
        <v>1.1000000000000001</v>
      </c>
      <c r="E5" s="12"/>
    </row>
    <row r="6" spans="1:8" s="10" customFormat="1" ht="26.5" customHeight="1" thickBot="1" x14ac:dyDescent="0.25">
      <c r="B6" s="9" t="s">
        <v>209</v>
      </c>
      <c r="C6" s="10">
        <f>'H GF'!B3/0.919</f>
        <v>2.3721436343852016</v>
      </c>
      <c r="D6" s="11" t="s">
        <v>210</v>
      </c>
      <c r="E6" s="13"/>
      <c r="F6" s="26"/>
      <c r="G6" s="26"/>
      <c r="H6" s="26"/>
    </row>
    <row r="8" spans="1:8" ht="16" thickBot="1" x14ac:dyDescent="0.25"/>
    <row r="9" spans="1:8" s="1" customFormat="1" ht="32" x14ac:dyDescent="0.2">
      <c r="A9" s="7" t="s">
        <v>68</v>
      </c>
      <c r="B9" s="18" t="str">
        <f>'H GF'!B6</f>
        <v>estep</v>
      </c>
      <c r="C9" s="7" t="str">
        <f>'H GF'!A6</f>
        <v>E_mode</v>
      </c>
      <c r="D9" s="7" t="s">
        <v>211</v>
      </c>
      <c r="E9" s="28" t="s">
        <v>212</v>
      </c>
      <c r="F9" s="19" t="s">
        <v>213</v>
      </c>
      <c r="G9" s="19" t="s">
        <v>214</v>
      </c>
      <c r="H9" s="20" t="s">
        <v>215</v>
      </c>
    </row>
    <row r="10" spans="1:8" ht="17" thickBot="1" x14ac:dyDescent="0.25">
      <c r="A10" s="11"/>
      <c r="B10" s="24"/>
      <c r="C10" s="11" t="s">
        <v>216</v>
      </c>
      <c r="D10" s="11"/>
      <c r="E10" s="29" t="s">
        <v>217</v>
      </c>
      <c r="F10" s="26"/>
      <c r="G10" s="26"/>
      <c r="H10" s="27"/>
    </row>
    <row r="11" spans="1:8" ht="16" x14ac:dyDescent="0.2">
      <c r="A11" s="1" t="s">
        <v>137</v>
      </c>
      <c r="B11" s="21">
        <f>'H GF'!B8</f>
        <v>1</v>
      </c>
      <c r="C11" s="1" t="str">
        <f>'H GF'!A8</f>
        <v>HiRes</v>
      </c>
      <c r="D11" s="23">
        <f>'H GF'!F8</f>
        <v>6.3888413704240064E-5</v>
      </c>
      <c r="E11" s="30">
        <v>7.29258961011518E-6</v>
      </c>
      <c r="F11" s="3">
        <f>'H GF'!F8/E11</f>
        <v>8.7607307033462707</v>
      </c>
      <c r="G11" s="3">
        <f>'IBEX GF Compare'!$G$4</f>
        <v>2.5786596684375604</v>
      </c>
      <c r="H11" s="22">
        <f t="shared" ref="H11:H39" si="0">F11/G11</f>
        <v>3.397397031712408</v>
      </c>
    </row>
    <row r="12" spans="1:8" ht="16" x14ac:dyDescent="0.2">
      <c r="A12" s="1"/>
      <c r="B12" s="21">
        <f>'H GF'!B9</f>
        <v>2</v>
      </c>
      <c r="C12" s="1" t="str">
        <f>'H GF'!A9</f>
        <v>HiRes</v>
      </c>
      <c r="D12" s="23">
        <f>'H GF'!F9</f>
        <v>7.2022468090621056E-5</v>
      </c>
      <c r="E12" s="30">
        <v>1.4147085289427439E-5</v>
      </c>
      <c r="F12" s="3">
        <f>'H GF'!F9/E12</f>
        <v>5.0909757463924885</v>
      </c>
      <c r="G12" s="3">
        <f>'IBEX GF Compare'!$G$4</f>
        <v>2.5786596684375604</v>
      </c>
      <c r="H12" s="22">
        <f t="shared" si="0"/>
        <v>1.9742720641678044</v>
      </c>
    </row>
    <row r="13" spans="1:8" ht="16" x14ac:dyDescent="0.2">
      <c r="A13" s="1"/>
      <c r="B13" s="21">
        <f>'H GF'!B10</f>
        <v>3</v>
      </c>
      <c r="C13" s="1" t="str">
        <f>'H GF'!A10</f>
        <v>HiRes</v>
      </c>
      <c r="D13" s="23">
        <f>'H GF'!F10</f>
        <v>8.7749576367460381E-5</v>
      </c>
      <c r="E13" s="30">
        <v>2.1715175756151523E-5</v>
      </c>
      <c r="F13" s="3">
        <f>'H GF'!F10/E13</f>
        <v>4.0409332787740615</v>
      </c>
      <c r="G13" s="3">
        <f>'IBEX GF Compare'!$G$4</f>
        <v>2.5786596684375604</v>
      </c>
      <c r="H13" s="22">
        <f t="shared" si="0"/>
        <v>1.5670673133932829</v>
      </c>
    </row>
    <row r="14" spans="1:8" ht="16" x14ac:dyDescent="0.2">
      <c r="A14" s="1"/>
      <c r="B14" s="21">
        <f>'H GF'!B11</f>
        <v>4</v>
      </c>
      <c r="C14" s="1" t="str">
        <f>'H GF'!A11</f>
        <v>HiRes</v>
      </c>
      <c r="D14" s="23">
        <f>'H GF'!F11</f>
        <v>1.0202523229845907E-4</v>
      </c>
      <c r="E14" s="30">
        <v>2.4329049594221999E-5</v>
      </c>
      <c r="F14" s="3">
        <f>'H GF'!F11/E14</f>
        <v>4.1935560163718621</v>
      </c>
      <c r="G14" s="3">
        <f>'IBEX GF Compare'!$G$4</f>
        <v>2.5786596684375604</v>
      </c>
      <c r="H14" s="22">
        <f t="shared" si="0"/>
        <v>1.6262541612995352</v>
      </c>
    </row>
    <row r="15" spans="1:8" ht="16" x14ac:dyDescent="0.2">
      <c r="A15" s="1"/>
      <c r="B15" s="21">
        <f>'H GF'!B12</f>
        <v>5</v>
      </c>
      <c r="C15" s="1" t="str">
        <f>'H GF'!A12</f>
        <v>HiRes</v>
      </c>
      <c r="D15" s="23">
        <f>'H GF'!F12</f>
        <v>1.2744962971161376E-4</v>
      </c>
      <c r="E15" s="30">
        <v>2.408248816736717E-5</v>
      </c>
      <c r="F15" s="3">
        <f>'H GF'!F12/E15</f>
        <v>5.2922118688846123</v>
      </c>
      <c r="G15" s="3">
        <f>'IBEX GF Compare'!$G$4</f>
        <v>2.5786596684375604</v>
      </c>
      <c r="H15" s="22">
        <f t="shared" si="0"/>
        <v>2.0523111031907613</v>
      </c>
    </row>
    <row r="16" spans="1:8" ht="16" x14ac:dyDescent="0.2">
      <c r="A16" s="1"/>
      <c r="B16" s="21">
        <f>'H GF'!B13</f>
        <v>6</v>
      </c>
      <c r="C16" s="1" t="str">
        <f>'H GF'!A13</f>
        <v>HiRes</v>
      </c>
      <c r="D16" s="23">
        <f>'H GF'!F13</f>
        <v>1.6077226243294522E-4</v>
      </c>
      <c r="E16" s="30">
        <v>2.8154031233105117E-5</v>
      </c>
      <c r="F16" s="3">
        <f>'H GF'!F13/E16</f>
        <v>5.7104526560267512</v>
      </c>
      <c r="G16" s="3">
        <f>'IBEX GF Compare'!$G$4</f>
        <v>2.5786596684375604</v>
      </c>
      <c r="H16" s="22">
        <f t="shared" si="0"/>
        <v>2.2145041960836886</v>
      </c>
    </row>
    <row r="17" spans="1:8" ht="16" x14ac:dyDescent="0.2">
      <c r="A17" s="1"/>
      <c r="B17" s="21">
        <f>'H GF'!B14</f>
        <v>7</v>
      </c>
      <c r="C17" s="1" t="str">
        <f>'H GF'!A14</f>
        <v>HiRes</v>
      </c>
      <c r="D17" s="23">
        <f>'H GF'!F14</f>
        <v>2.0392348321430099E-4</v>
      </c>
      <c r="E17" s="30">
        <v>5.2283763386265606E-5</v>
      </c>
      <c r="F17" s="3">
        <f>'H GF'!F14/E17</f>
        <v>3.9003214383735343</v>
      </c>
      <c r="G17" s="3">
        <f>'IBEX GF Compare'!$G$4</f>
        <v>2.5786596684375604</v>
      </c>
      <c r="H17" s="22">
        <f t="shared" si="0"/>
        <v>1.512538271766892</v>
      </c>
    </row>
    <row r="18" spans="1:8" ht="16" x14ac:dyDescent="0.2">
      <c r="A18" s="1"/>
      <c r="B18" s="21">
        <f>'H GF'!B15</f>
        <v>1</v>
      </c>
      <c r="C18" s="1" t="str">
        <f>'H GF'!A15</f>
        <v>HiTh</v>
      </c>
      <c r="D18" s="23">
        <f>'H GF'!F15</f>
        <v>1.5117641436888655E-4</v>
      </c>
      <c r="E18" s="30">
        <v>7.2925896101151758E-6</v>
      </c>
      <c r="F18" s="3">
        <f>'H GF'!F15/E18</f>
        <v>20.730141479399517</v>
      </c>
      <c r="G18" s="3">
        <f>'IBEX GF Compare'!$H$4</f>
        <v>9.1271829134327671</v>
      </c>
      <c r="H18" s="22">
        <f t="shared" si="0"/>
        <v>2.2712529896700442</v>
      </c>
    </row>
    <row r="19" spans="1:8" ht="16" x14ac:dyDescent="0.2">
      <c r="A19" s="1"/>
      <c r="B19" s="21">
        <f>'H GF'!B16</f>
        <v>2</v>
      </c>
      <c r="C19" s="1" t="str">
        <f>'H GF'!A16</f>
        <v>HiTh</v>
      </c>
      <c r="D19" s="23">
        <f>'H GF'!F16</f>
        <v>1.7416147903936635E-4</v>
      </c>
      <c r="E19" s="30">
        <v>1.4147085289427439E-5</v>
      </c>
      <c r="F19" s="3">
        <f>'H GF'!F16/E19</f>
        <v>12.310767587548419</v>
      </c>
      <c r="G19" s="3">
        <f>'IBEX GF Compare'!$H$4</f>
        <v>9.1271829134327671</v>
      </c>
      <c r="H19" s="22">
        <f t="shared" si="0"/>
        <v>1.3488025499555036</v>
      </c>
    </row>
    <row r="20" spans="1:8" ht="16" x14ac:dyDescent="0.2">
      <c r="A20" s="1"/>
      <c r="B20" s="21">
        <f>'H GF'!B17</f>
        <v>3</v>
      </c>
      <c r="C20" s="1" t="str">
        <f>'H GF'!A17</f>
        <v>HiTh</v>
      </c>
      <c r="D20" s="23">
        <f>'H GF'!F17</f>
        <v>2.0614135426440456E-4</v>
      </c>
      <c r="E20" s="30">
        <v>2.1715175756151523E-5</v>
      </c>
      <c r="F20" s="3">
        <f>'H GF'!F17/E20</f>
        <v>9.4929627362563895</v>
      </c>
      <c r="G20" s="3">
        <f>'IBEX GF Compare'!$H$4</f>
        <v>9.1271829134327671</v>
      </c>
      <c r="H20" s="22">
        <f t="shared" si="0"/>
        <v>1.0400758729492856</v>
      </c>
    </row>
    <row r="21" spans="1:8" ht="16" x14ac:dyDescent="0.2">
      <c r="A21" s="1"/>
      <c r="B21" s="21">
        <f>'H GF'!B18</f>
        <v>4</v>
      </c>
      <c r="C21" s="1" t="str">
        <f>'H GF'!A18</f>
        <v>HiTh</v>
      </c>
      <c r="D21" s="23">
        <f>'H GF'!F18</f>
        <v>2.4814962293303781E-4</v>
      </c>
      <c r="E21" s="30">
        <v>2.4329049594221999E-5</v>
      </c>
      <c r="F21" s="3">
        <f>'H GF'!F18/E21</f>
        <v>10.199725310764784</v>
      </c>
      <c r="G21" s="3">
        <f>'IBEX GF Compare'!$H$4</f>
        <v>9.1271829134327671</v>
      </c>
      <c r="H21" s="22">
        <f t="shared" si="0"/>
        <v>1.1175107815307965</v>
      </c>
    </row>
    <row r="22" spans="1:8" ht="16" x14ac:dyDescent="0.2">
      <c r="A22" s="1"/>
      <c r="B22" s="21">
        <f>'H GF'!B19</f>
        <v>5</v>
      </c>
      <c r="C22" s="1" t="str">
        <f>'H GF'!A19</f>
        <v>HiTh</v>
      </c>
      <c r="D22" s="23">
        <f>'H GF'!F19</f>
        <v>3.0695952602199645E-4</v>
      </c>
      <c r="E22" s="30">
        <v>2.408248816736717E-5</v>
      </c>
      <c r="F22" s="3">
        <f>'H GF'!F19/E22</f>
        <v>12.746171570342142</v>
      </c>
      <c r="G22" s="3">
        <f>'IBEX GF Compare'!$H$4</f>
        <v>9.1271829134327671</v>
      </c>
      <c r="H22" s="22">
        <f t="shared" si="0"/>
        <v>1.3965066429843531</v>
      </c>
    </row>
    <row r="23" spans="1:8" ht="16" x14ac:dyDescent="0.2">
      <c r="A23" s="1"/>
      <c r="B23" s="21">
        <f>'H GF'!B20</f>
        <v>6</v>
      </c>
      <c r="C23" s="1" t="str">
        <f>'H GF'!A20</f>
        <v>HiTh</v>
      </c>
      <c r="D23" s="23">
        <f>'H GF'!F20</f>
        <v>4.0363457822416835E-4</v>
      </c>
      <c r="E23" s="30">
        <v>2.8154031233105117E-5</v>
      </c>
      <c r="F23" s="3">
        <f>'H GF'!F20/E23</f>
        <v>14.336653066916817</v>
      </c>
      <c r="G23" s="3">
        <f>'IBEX GF Compare'!$H$4</f>
        <v>9.1271829134327671</v>
      </c>
      <c r="H23" s="22">
        <f t="shared" si="0"/>
        <v>1.5707642985676453</v>
      </c>
    </row>
    <row r="24" spans="1:8" ht="17" thickBot="1" x14ac:dyDescent="0.25">
      <c r="A24" s="11"/>
      <c r="B24" s="24">
        <f>'H GF'!B21</f>
        <v>7</v>
      </c>
      <c r="C24" s="11" t="str">
        <f>'H GF'!A21</f>
        <v>HiTh</v>
      </c>
      <c r="D24" s="25">
        <f>'H GF'!F21</f>
        <v>5.1692754380468448E-4</v>
      </c>
      <c r="E24" s="31">
        <v>5.2283763386265606E-5</v>
      </c>
      <c r="F24" s="26">
        <f>'H GF'!F21/E24</f>
        <v>9.8869612729613863</v>
      </c>
      <c r="G24" s="26">
        <f>'IBEX GF Compare'!$H$4</f>
        <v>9.1271829134327671</v>
      </c>
      <c r="H24" s="27">
        <f t="shared" si="0"/>
        <v>1.0832434680815293</v>
      </c>
    </row>
    <row r="25" spans="1:8" ht="17" thickBot="1" x14ac:dyDescent="0.25">
      <c r="E25" s="1" t="s">
        <v>218</v>
      </c>
    </row>
    <row r="26" spans="1:8" x14ac:dyDescent="0.2">
      <c r="A26" s="6" t="s">
        <v>69</v>
      </c>
      <c r="B26" s="5">
        <f>'O GF'!B8</f>
        <v>1</v>
      </c>
      <c r="C26" s="6" t="str">
        <f>'O GF'!A8</f>
        <v>HiRes</v>
      </c>
      <c r="D26" s="86">
        <f>'O GF'!F8</f>
        <v>3.1115757838024813E-5</v>
      </c>
      <c r="E26" s="7">
        <v>3.547573315515791E-5</v>
      </c>
      <c r="F26" s="79">
        <f>D26/E26</f>
        <v>0.87709978260169685</v>
      </c>
      <c r="G26" s="79">
        <f>'IBEX GF Compare'!$G$4</f>
        <v>2.5786596684375604</v>
      </c>
      <c r="H26" s="82">
        <f t="shared" si="0"/>
        <v>0.34013786050841743</v>
      </c>
    </row>
    <row r="27" spans="1:8" x14ac:dyDescent="0.2">
      <c r="B27" s="8">
        <f>'O GF'!B9</f>
        <v>2</v>
      </c>
      <c r="C27" t="str">
        <f>'O GF'!A9</f>
        <v>HiRes</v>
      </c>
      <c r="D27" s="23">
        <f>'O GF'!F9</f>
        <v>5.005880240190653E-5</v>
      </c>
      <c r="E27" s="1">
        <v>3.9843632955464752E-5</v>
      </c>
      <c r="F27" s="3">
        <f t="shared" ref="F27:F39" si="1">D27/E27</f>
        <v>1.2563814765049108</v>
      </c>
      <c r="G27" s="3">
        <f>'IBEX GF Compare'!$G$4</f>
        <v>2.5786596684375604</v>
      </c>
      <c r="H27" s="22">
        <f t="shared" si="0"/>
        <v>0.48722268079143877</v>
      </c>
    </row>
    <row r="28" spans="1:8" x14ac:dyDescent="0.2">
      <c r="B28" s="8">
        <f>'O GF'!B10</f>
        <v>3</v>
      </c>
      <c r="C28" t="str">
        <f>'O GF'!A10</f>
        <v>HiRes</v>
      </c>
      <c r="D28" s="23">
        <f>'O GF'!F10</f>
        <v>8.4062969191963185E-5</v>
      </c>
      <c r="E28" s="1">
        <v>6.3645580488630083E-5</v>
      </c>
      <c r="F28" s="3">
        <f t="shared" si="1"/>
        <v>1.3207982164131655</v>
      </c>
      <c r="G28" s="3">
        <f>'IBEX GF Compare'!$G$4</f>
        <v>2.5786596684375604</v>
      </c>
      <c r="H28" s="22">
        <f t="shared" si="0"/>
        <v>0.5122033871237659</v>
      </c>
    </row>
    <row r="29" spans="1:8" x14ac:dyDescent="0.2">
      <c r="B29" s="8">
        <f>'O GF'!B11</f>
        <v>4</v>
      </c>
      <c r="C29" t="str">
        <f>'O GF'!A11</f>
        <v>HiRes</v>
      </c>
      <c r="D29" s="23">
        <f>'O GF'!F11</f>
        <v>1.3566688716410856E-4</v>
      </c>
      <c r="E29" s="1">
        <v>7.2867220935828503E-5</v>
      </c>
      <c r="F29" s="3">
        <f t="shared" si="1"/>
        <v>1.8618369881786136</v>
      </c>
      <c r="G29" s="3">
        <f>'IBEX GF Compare'!$G$4</f>
        <v>2.5786596684375604</v>
      </c>
      <c r="H29" s="22">
        <f t="shared" si="0"/>
        <v>0.72201733752121</v>
      </c>
    </row>
    <row r="30" spans="1:8" x14ac:dyDescent="0.2">
      <c r="B30" s="8">
        <f>'O GF'!B12</f>
        <v>5</v>
      </c>
      <c r="C30" t="str">
        <f>'O GF'!A12</f>
        <v>HiRes</v>
      </c>
      <c r="D30" s="23">
        <f>'O GF'!F12</f>
        <v>2.0747552339896088E-4</v>
      </c>
      <c r="E30" s="1">
        <v>7.2383150821911561E-5</v>
      </c>
      <c r="F30" s="3">
        <f t="shared" si="1"/>
        <v>2.866351091974773</v>
      </c>
      <c r="G30" s="3">
        <f>'IBEX GF Compare'!$G$4</f>
        <v>2.5786596684375604</v>
      </c>
      <c r="H30" s="22">
        <f t="shared" si="0"/>
        <v>1.1115662633027987</v>
      </c>
    </row>
    <row r="31" spans="1:8" x14ac:dyDescent="0.2">
      <c r="B31" s="8">
        <f>'O GF'!B13</f>
        <v>6</v>
      </c>
      <c r="C31" t="str">
        <f>'O GF'!A13</f>
        <v>HiRes</v>
      </c>
      <c r="D31" s="23">
        <f>'O GF'!F13</f>
        <v>3.8669785630646663E-4</v>
      </c>
      <c r="E31" s="1">
        <v>6.8878619407358223E-5</v>
      </c>
      <c r="F31" s="3">
        <f t="shared" si="1"/>
        <v>5.6141929038890712</v>
      </c>
      <c r="G31" s="3">
        <f>'IBEX GF Compare'!$G$4</f>
        <v>2.5786596684375604</v>
      </c>
      <c r="H31" s="22">
        <f t="shared" si="0"/>
        <v>2.1771748217130087</v>
      </c>
    </row>
    <row r="32" spans="1:8" x14ac:dyDescent="0.2">
      <c r="B32" s="8">
        <f>'O GF'!B14</f>
        <v>7</v>
      </c>
      <c r="C32" t="str">
        <f>'O GF'!A14</f>
        <v>HiRes</v>
      </c>
      <c r="D32" s="23">
        <f>'O GF'!F14</f>
        <v>5.9920407653778446E-4</v>
      </c>
      <c r="E32" s="1">
        <v>8.0057286172249346E-5</v>
      </c>
      <c r="F32" s="3">
        <f t="shared" si="1"/>
        <v>7.4846913402554174</v>
      </c>
      <c r="G32" s="3">
        <f>'IBEX GF Compare'!$G$4</f>
        <v>2.5786596684375604</v>
      </c>
      <c r="H32" s="22">
        <f t="shared" si="0"/>
        <v>2.9025510546688302</v>
      </c>
    </row>
    <row r="33" spans="1:8" x14ac:dyDescent="0.2">
      <c r="B33" s="8">
        <f>'O GF'!B15</f>
        <v>1</v>
      </c>
      <c r="C33" t="str">
        <f>'O GF'!A15</f>
        <v>HiTh</v>
      </c>
      <c r="D33" s="23">
        <f>'O GF'!F15</f>
        <v>7.8963578099304818E-5</v>
      </c>
      <c r="E33" s="1">
        <v>3.547573315515791E-5</v>
      </c>
      <c r="F33" s="3">
        <f t="shared" si="1"/>
        <v>2.2258476732234667</v>
      </c>
      <c r="G33" s="3">
        <f>'IBEX GF Compare'!$H$4</f>
        <v>9.1271829134327671</v>
      </c>
      <c r="H33" s="22">
        <f t="shared" si="0"/>
        <v>0.24387017268467528</v>
      </c>
    </row>
    <row r="34" spans="1:8" x14ac:dyDescent="0.2">
      <c r="B34" s="8">
        <f>'O GF'!B16</f>
        <v>2</v>
      </c>
      <c r="C34" t="str">
        <f>'O GF'!A16</f>
        <v>HiTh</v>
      </c>
      <c r="D34" s="23">
        <f>'O GF'!F16</f>
        <v>1.2773118430821318E-4</v>
      </c>
      <c r="E34" s="1">
        <v>3.9843632955464752E-5</v>
      </c>
      <c r="F34" s="3">
        <f t="shared" si="1"/>
        <v>3.2058116901886131</v>
      </c>
      <c r="G34" s="3">
        <f>'IBEX GF Compare'!$H$4</f>
        <v>9.1271829134327671</v>
      </c>
      <c r="H34" s="22">
        <f t="shared" si="0"/>
        <v>0.35123780476345201</v>
      </c>
    </row>
    <row r="35" spans="1:8" x14ac:dyDescent="0.2">
      <c r="B35" s="8">
        <f>'O GF'!B17</f>
        <v>3</v>
      </c>
      <c r="C35" t="str">
        <f>'O GF'!A17</f>
        <v>HiTh</v>
      </c>
      <c r="D35" s="23">
        <f>'O GF'!F17</f>
        <v>2.0984243680911802E-4</v>
      </c>
      <c r="E35" s="1">
        <v>6.3645580488630083E-5</v>
      </c>
      <c r="F35" s="3">
        <f t="shared" si="1"/>
        <v>3.2970464751532145</v>
      </c>
      <c r="G35" s="3">
        <f>'IBEX GF Compare'!$H$4</f>
        <v>9.1271829134327671</v>
      </c>
      <c r="H35" s="22">
        <f t="shared" si="0"/>
        <v>0.36123374609934089</v>
      </c>
    </row>
    <row r="36" spans="1:8" x14ac:dyDescent="0.2">
      <c r="B36" s="8">
        <f>'O GF'!B18</f>
        <v>4</v>
      </c>
      <c r="C36" t="str">
        <f>'O GF'!A18</f>
        <v>HiTh</v>
      </c>
      <c r="D36" s="23">
        <f>'O GF'!F18</f>
        <v>3.7366740270512586E-4</v>
      </c>
      <c r="E36" s="1">
        <v>7.2867220935828503E-5</v>
      </c>
      <c r="F36" s="3">
        <f t="shared" si="1"/>
        <v>5.1280589256203566</v>
      </c>
      <c r="G36" s="3">
        <f>'IBEX GF Compare'!$H$4</f>
        <v>9.1271829134327671</v>
      </c>
      <c r="H36" s="22">
        <f t="shared" si="0"/>
        <v>0.56184465395924388</v>
      </c>
    </row>
    <row r="37" spans="1:8" x14ac:dyDescent="0.2">
      <c r="B37" s="8">
        <f>'O GF'!B19</f>
        <v>5</v>
      </c>
      <c r="C37" t="str">
        <f>'O GF'!A19</f>
        <v>HiTh</v>
      </c>
      <c r="D37" s="23">
        <f>'O GF'!F19</f>
        <v>6.092093035948914E-4</v>
      </c>
      <c r="E37" s="1">
        <v>7.2383150821911561E-5</v>
      </c>
      <c r="F37" s="3">
        <f t="shared" si="1"/>
        <v>8.4164518493228364</v>
      </c>
      <c r="G37" s="3">
        <f>'IBEX GF Compare'!$H$4</f>
        <v>9.1271829134327671</v>
      </c>
      <c r="H37" s="22">
        <f t="shared" si="0"/>
        <v>0.92213029246253786</v>
      </c>
    </row>
    <row r="38" spans="1:8" x14ac:dyDescent="0.2">
      <c r="B38" s="8">
        <f>'O GF'!B20</f>
        <v>6</v>
      </c>
      <c r="C38" t="str">
        <f>'O GF'!A20</f>
        <v>HiTh</v>
      </c>
      <c r="D38" s="23">
        <f>'O GF'!F20</f>
        <v>1.0434805272622335E-3</v>
      </c>
      <c r="E38" s="1">
        <v>6.8878619407358223E-5</v>
      </c>
      <c r="F38" s="3">
        <f t="shared" si="1"/>
        <v>15.149556368006408</v>
      </c>
      <c r="G38" s="3">
        <f>'IBEX GF Compare'!$H$4</f>
        <v>9.1271829134327671</v>
      </c>
      <c r="H38" s="22">
        <f t="shared" si="0"/>
        <v>1.6598282856488304</v>
      </c>
    </row>
    <row r="39" spans="1:8" ht="16" thickBot="1" x14ac:dyDescent="0.25">
      <c r="A39" s="10"/>
      <c r="B39" s="9">
        <f>'O GF'!B21</f>
        <v>7</v>
      </c>
      <c r="C39" s="10" t="str">
        <f>'O GF'!A21</f>
        <v>HiTh</v>
      </c>
      <c r="D39" s="25">
        <f>'O GF'!F21</f>
        <v>1.597303292929058E-3</v>
      </c>
      <c r="E39" s="11">
        <v>8.0057286172249346E-5</v>
      </c>
      <c r="F39" s="26">
        <f t="shared" si="1"/>
        <v>19.952003987398953</v>
      </c>
      <c r="G39" s="26">
        <f>'IBEX GF Compare'!$H$4</f>
        <v>9.1271829134327671</v>
      </c>
      <c r="H39" s="27">
        <f t="shared" si="0"/>
        <v>2.1859980430582748</v>
      </c>
    </row>
  </sheetData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5545-E718-4CD5-A503-B29D524D83B6}">
  <dimension ref="A1:P25"/>
  <sheetViews>
    <sheetView zoomScaleNormal="100" workbookViewId="0">
      <selection activeCell="A5" sqref="A5:M21"/>
    </sheetView>
  </sheetViews>
  <sheetFormatPr baseColWidth="10" defaultColWidth="8.83203125" defaultRowHeight="15" x14ac:dyDescent="0.2"/>
  <cols>
    <col min="1" max="1" width="18.5" customWidth="1"/>
    <col min="4" max="4" width="13" customWidth="1"/>
  </cols>
  <sheetData>
    <row r="1" spans="1:16" s="120" customFormat="1" ht="17" thickBot="1" x14ac:dyDescent="0.25">
      <c r="A1" s="117" t="s">
        <v>219</v>
      </c>
      <c r="B1" s="118" t="s">
        <v>45</v>
      </c>
      <c r="C1" s="118" t="s">
        <v>46</v>
      </c>
      <c r="D1" s="118" t="s">
        <v>47</v>
      </c>
      <c r="E1" s="119" t="s">
        <v>48</v>
      </c>
      <c r="F1" s="119"/>
      <c r="G1" s="119"/>
      <c r="H1" s="124"/>
      <c r="N1" s="121"/>
      <c r="O1" s="121"/>
      <c r="P1" s="121"/>
    </row>
    <row r="2" spans="1:16" s="1" customFormat="1" ht="35.5" customHeight="1" x14ac:dyDescent="0.2">
      <c r="A2" s="125" t="s">
        <v>52</v>
      </c>
      <c r="B2" s="38">
        <v>2.1800000000000002</v>
      </c>
      <c r="C2" s="38" t="s">
        <v>53</v>
      </c>
      <c r="D2" s="38" t="s">
        <v>54</v>
      </c>
      <c r="E2" s="122"/>
      <c r="F2" s="122"/>
      <c r="G2" s="122"/>
      <c r="H2" s="126"/>
      <c r="N2" s="123"/>
      <c r="O2" s="123"/>
      <c r="P2" s="123"/>
    </row>
    <row r="3" spans="1:16" s="1" customFormat="1" ht="17" thickBot="1" x14ac:dyDescent="0.25">
      <c r="A3" s="127" t="s">
        <v>55</v>
      </c>
      <c r="B3" s="47">
        <f>GridsAndSpokes!D7</f>
        <v>0.56538865625000012</v>
      </c>
      <c r="C3" s="47" t="s">
        <v>56</v>
      </c>
      <c r="D3" s="47"/>
      <c r="E3" s="128"/>
      <c r="F3" s="128"/>
      <c r="G3" s="128"/>
      <c r="H3" s="129"/>
      <c r="N3" s="123"/>
      <c r="O3" s="123"/>
      <c r="P3" s="123"/>
    </row>
    <row r="4" spans="1:16" ht="16" thickBot="1" x14ac:dyDescent="0.25">
      <c r="G4" s="2"/>
      <c r="H4" s="2"/>
      <c r="I4" s="2"/>
      <c r="N4" s="3"/>
      <c r="O4" s="3"/>
      <c r="P4" s="3"/>
    </row>
    <row r="5" spans="1:16" ht="16" thickBot="1" x14ac:dyDescent="0.25">
      <c r="A5" s="105"/>
      <c r="B5" s="106"/>
      <c r="C5" s="106"/>
      <c r="D5" s="106"/>
      <c r="E5" s="106" t="s">
        <v>220</v>
      </c>
      <c r="F5" s="221" t="s">
        <v>137</v>
      </c>
      <c r="G5" s="222"/>
      <c r="H5" s="222"/>
      <c r="I5" s="107"/>
      <c r="J5" s="221" t="s">
        <v>69</v>
      </c>
      <c r="K5" s="222"/>
      <c r="L5" s="222"/>
      <c r="M5" s="107"/>
    </row>
    <row r="6" spans="1:16" x14ac:dyDescent="0.2">
      <c r="A6" s="108"/>
      <c r="B6" s="109"/>
      <c r="C6" s="109"/>
      <c r="D6" s="109"/>
      <c r="E6" s="109"/>
      <c r="F6" s="108" t="s">
        <v>221</v>
      </c>
      <c r="G6" s="109" t="s">
        <v>222</v>
      </c>
      <c r="H6" s="109" t="s">
        <v>223</v>
      </c>
      <c r="I6" s="110" t="s">
        <v>58</v>
      </c>
      <c r="J6" s="108" t="s">
        <v>221</v>
      </c>
      <c r="K6" s="109" t="s">
        <v>222</v>
      </c>
      <c r="L6" s="109" t="s">
        <v>223</v>
      </c>
      <c r="M6" s="110" t="s">
        <v>58</v>
      </c>
    </row>
    <row r="7" spans="1:16" ht="25" thickBot="1" x14ac:dyDescent="0.25">
      <c r="A7" s="114" t="s">
        <v>68</v>
      </c>
      <c r="B7" s="115" t="s">
        <v>224</v>
      </c>
      <c r="C7" s="115" t="s">
        <v>72</v>
      </c>
      <c r="D7" s="115" t="s">
        <v>225</v>
      </c>
      <c r="E7" s="115" t="s">
        <v>226</v>
      </c>
      <c r="F7" s="114"/>
      <c r="G7" s="115"/>
      <c r="H7" s="115"/>
      <c r="I7" s="116"/>
      <c r="J7" s="114"/>
      <c r="K7" s="115"/>
      <c r="L7" s="115"/>
      <c r="M7" s="116"/>
    </row>
    <row r="8" spans="1:16" x14ac:dyDescent="0.2">
      <c r="A8" s="216" t="s">
        <v>227</v>
      </c>
      <c r="B8" s="216">
        <v>700</v>
      </c>
      <c r="C8" s="216" t="s">
        <v>84</v>
      </c>
      <c r="D8" s="93">
        <v>1</v>
      </c>
      <c r="E8" s="93">
        <v>8.6614999999999998E-2</v>
      </c>
      <c r="F8" s="102">
        <v>9.0000000000000002E-6</v>
      </c>
      <c r="G8" s="92">
        <v>8.5000000000000006E-5</v>
      </c>
      <c r="H8" s="94">
        <v>8.7275000000000005E-2</v>
      </c>
      <c r="I8" s="112">
        <f t="shared" ref="I8:I21" si="0">G8*H8*$B$2*$B$3</f>
        <v>9.1434978587227388E-6</v>
      </c>
      <c r="J8" s="102">
        <v>2.3510360000000002E-6</v>
      </c>
      <c r="K8" s="92">
        <v>2.3E-5</v>
      </c>
      <c r="L8" s="94">
        <v>0.24060999999999999</v>
      </c>
      <c r="M8" s="112">
        <f t="shared" ref="M8:M21" si="1">K8*L8*$B$2*$B$3</f>
        <v>6.8209535720568699E-6</v>
      </c>
    </row>
    <row r="9" spans="1:16" x14ac:dyDescent="0.2">
      <c r="A9" s="216"/>
      <c r="B9" s="216"/>
      <c r="C9" s="216"/>
      <c r="D9" s="89">
        <v>2</v>
      </c>
      <c r="E9" s="89">
        <v>0.16723099999999999</v>
      </c>
      <c r="F9" s="101">
        <v>1.9000000000000001E-5</v>
      </c>
      <c r="G9" s="90">
        <v>1.8799999999999999E-4</v>
      </c>
      <c r="H9" s="91">
        <v>8.7275000000000005E-2</v>
      </c>
      <c r="I9" s="112">
        <f t="shared" si="0"/>
        <v>2.0223265852233815E-5</v>
      </c>
      <c r="J9" s="101">
        <v>1.6169820000000001E-6</v>
      </c>
      <c r="K9" s="90">
        <v>1.5999999999999999E-5</v>
      </c>
      <c r="L9" s="91">
        <v>0.24060999999999999</v>
      </c>
      <c r="M9" s="112">
        <f t="shared" si="1"/>
        <v>4.7450111805613014E-6</v>
      </c>
    </row>
    <row r="10" spans="1:16" x14ac:dyDescent="0.2">
      <c r="A10" s="216"/>
      <c r="B10" s="216"/>
      <c r="C10" s="216"/>
      <c r="D10" s="93">
        <v>3</v>
      </c>
      <c r="E10" s="93">
        <v>0.31884600000000002</v>
      </c>
      <c r="F10" s="102">
        <v>1.9000000000000001E-5</v>
      </c>
      <c r="G10" s="92">
        <v>1.8699999999999999E-4</v>
      </c>
      <c r="H10" s="94">
        <v>8.7275000000000005E-2</v>
      </c>
      <c r="I10" s="112">
        <f t="shared" si="0"/>
        <v>2.0115695289190019E-5</v>
      </c>
      <c r="J10" s="102">
        <v>5.3523340000000001E-6</v>
      </c>
      <c r="K10" s="92">
        <v>5.3000000000000001E-5</v>
      </c>
      <c r="L10" s="94">
        <v>0.24060999999999999</v>
      </c>
      <c r="M10" s="112">
        <f t="shared" si="1"/>
        <v>1.5717849535609312E-5</v>
      </c>
    </row>
    <row r="11" spans="1:16" x14ac:dyDescent="0.2">
      <c r="A11" s="216"/>
      <c r="B11" s="216"/>
      <c r="C11" s="216"/>
      <c r="D11" s="89">
        <v>4</v>
      </c>
      <c r="E11" s="89">
        <v>0.62284600000000001</v>
      </c>
      <c r="F11" s="101">
        <v>1.2999999999999999E-5</v>
      </c>
      <c r="G11" s="90">
        <v>1.2300000000000001E-4</v>
      </c>
      <c r="H11" s="91">
        <v>8.7275000000000005E-2</v>
      </c>
      <c r="I11" s="112">
        <f t="shared" si="0"/>
        <v>1.323117925438702E-5</v>
      </c>
      <c r="J11" s="101">
        <v>1.06163E-5</v>
      </c>
      <c r="K11" s="90">
        <v>1.0399999999999999E-4</v>
      </c>
      <c r="L11" s="91">
        <v>0.24060999999999999</v>
      </c>
      <c r="M11" s="112">
        <f t="shared" si="1"/>
        <v>3.0842572673648459E-5</v>
      </c>
    </row>
    <row r="12" spans="1:16" x14ac:dyDescent="0.2">
      <c r="A12" s="216"/>
      <c r="B12" s="216"/>
      <c r="C12" s="216"/>
      <c r="D12" s="93">
        <v>5</v>
      </c>
      <c r="E12" s="93">
        <v>1.194769</v>
      </c>
      <c r="F12" s="102">
        <v>3.9999999999999998E-6</v>
      </c>
      <c r="G12" s="92">
        <v>4.3000000000000002E-5</v>
      </c>
      <c r="H12" s="94">
        <v>8.7275000000000005E-2</v>
      </c>
      <c r="I12" s="112">
        <f t="shared" si="0"/>
        <v>4.6255342108832676E-6</v>
      </c>
      <c r="J12" s="102">
        <v>1.390272E-5</v>
      </c>
      <c r="K12" s="92">
        <v>1.37E-4</v>
      </c>
      <c r="L12" s="94">
        <v>0.24060999999999999</v>
      </c>
      <c r="M12" s="112">
        <f t="shared" si="1"/>
        <v>4.0629158233556134E-5</v>
      </c>
    </row>
    <row r="13" spans="1:16" x14ac:dyDescent="0.2">
      <c r="A13" s="216"/>
      <c r="B13" s="216"/>
      <c r="C13" s="216"/>
      <c r="D13" s="89">
        <v>6</v>
      </c>
      <c r="E13" s="89">
        <v>2.4686149999999998</v>
      </c>
      <c r="F13" s="101">
        <v>0</v>
      </c>
      <c r="G13" s="90">
        <v>0</v>
      </c>
      <c r="H13" s="91">
        <v>8.7275000000000005E-2</v>
      </c>
      <c r="I13" s="112">
        <f t="shared" si="0"/>
        <v>0</v>
      </c>
      <c r="J13" s="101">
        <v>1.1575420000000001E-5</v>
      </c>
      <c r="K13" s="90">
        <v>1.1400000000000001E-4</v>
      </c>
      <c r="L13" s="91">
        <v>0.24060999999999999</v>
      </c>
      <c r="M13" s="112">
        <f t="shared" si="1"/>
        <v>3.3808204661499274E-5</v>
      </c>
    </row>
    <row r="14" spans="1:16" ht="16" thickBot="1" x14ac:dyDescent="0.25">
      <c r="A14" s="216"/>
      <c r="B14" s="216"/>
      <c r="C14" s="216"/>
      <c r="D14" s="93">
        <v>7</v>
      </c>
      <c r="E14" s="93">
        <v>4.7531540000000003</v>
      </c>
      <c r="F14" s="102">
        <v>0</v>
      </c>
      <c r="G14" s="92">
        <v>0</v>
      </c>
      <c r="H14" s="94">
        <v>8.7275000000000005E-2</v>
      </c>
      <c r="I14" s="112">
        <f t="shared" si="0"/>
        <v>0</v>
      </c>
      <c r="J14" s="102">
        <v>5.8574269999999995E-7</v>
      </c>
      <c r="K14" s="92">
        <v>6.0000000000000002E-6</v>
      </c>
      <c r="L14" s="94">
        <v>0.24060999999999999</v>
      </c>
      <c r="M14" s="112">
        <f t="shared" si="1"/>
        <v>1.779379192710488E-6</v>
      </c>
    </row>
    <row r="15" spans="1:16" x14ac:dyDescent="0.2">
      <c r="A15" s="212" t="s">
        <v>227</v>
      </c>
      <c r="B15" s="215">
        <v>700</v>
      </c>
      <c r="C15" s="218" t="s">
        <v>99</v>
      </c>
      <c r="D15" s="95">
        <v>1</v>
      </c>
      <c r="E15" s="95">
        <v>8.6614999999999998E-2</v>
      </c>
      <c r="F15" s="103">
        <v>2.5999999999999998E-5</v>
      </c>
      <c r="G15" s="96">
        <v>2.02E-4</v>
      </c>
      <c r="H15" s="97">
        <v>0.22203000000000001</v>
      </c>
      <c r="I15" s="111">
        <f t="shared" si="0"/>
        <v>5.5279819040367507E-5</v>
      </c>
      <c r="J15" s="103">
        <v>7.7763000000000004E-6</v>
      </c>
      <c r="K15" s="96">
        <v>6.0999999999999999E-5</v>
      </c>
      <c r="L15" s="97">
        <v>0.27286899999999997</v>
      </c>
      <c r="M15" s="111">
        <f t="shared" si="1"/>
        <v>2.0515760412478565E-5</v>
      </c>
    </row>
    <row r="16" spans="1:16" x14ac:dyDescent="0.2">
      <c r="A16" s="213"/>
      <c r="B16" s="216"/>
      <c r="C16" s="219"/>
      <c r="D16" s="93">
        <v>2</v>
      </c>
      <c r="E16" s="93">
        <v>0.16723099999999999</v>
      </c>
      <c r="F16" s="102">
        <v>5.8999999999999998E-5</v>
      </c>
      <c r="G16" s="92">
        <v>4.6200000000000001E-4</v>
      </c>
      <c r="H16" s="94">
        <v>0.22203000000000001</v>
      </c>
      <c r="I16" s="112">
        <f t="shared" si="0"/>
        <v>1.2643206136955343E-4</v>
      </c>
      <c r="J16" s="102">
        <v>7.4948370000000002E-6</v>
      </c>
      <c r="K16" s="92">
        <v>5.8999999999999998E-5</v>
      </c>
      <c r="L16" s="94">
        <v>0.27286899999999997</v>
      </c>
      <c r="M16" s="112">
        <f t="shared" si="1"/>
        <v>1.9843112530102217E-5</v>
      </c>
    </row>
    <row r="17" spans="1:13" x14ac:dyDescent="0.2">
      <c r="A17" s="213"/>
      <c r="B17" s="216"/>
      <c r="C17" s="219"/>
      <c r="D17" s="89">
        <v>3</v>
      </c>
      <c r="E17" s="89">
        <v>0.31884600000000002</v>
      </c>
      <c r="F17" s="101">
        <v>6.0999999999999999E-5</v>
      </c>
      <c r="G17" s="90">
        <v>4.8500000000000003E-4</v>
      </c>
      <c r="H17" s="91">
        <v>0.22203000000000001</v>
      </c>
      <c r="I17" s="112">
        <f t="shared" si="0"/>
        <v>1.3272629819098138E-4</v>
      </c>
      <c r="J17" s="101">
        <v>1.6752520000000001E-5</v>
      </c>
      <c r="K17" s="90">
        <v>1.3200000000000001E-4</v>
      </c>
      <c r="L17" s="91">
        <v>0.27286899999999997</v>
      </c>
      <c r="M17" s="112">
        <f t="shared" si="1"/>
        <v>4.4394760236838856E-5</v>
      </c>
    </row>
    <row r="18" spans="1:13" x14ac:dyDescent="0.2">
      <c r="A18" s="213"/>
      <c r="B18" s="216"/>
      <c r="C18" s="219"/>
      <c r="D18" s="93">
        <v>4</v>
      </c>
      <c r="E18" s="93">
        <v>0.62284600000000001</v>
      </c>
      <c r="F18" s="102">
        <v>4.5000000000000003E-5</v>
      </c>
      <c r="G18" s="92">
        <v>3.59E-4</v>
      </c>
      <c r="H18" s="94">
        <v>0.22203000000000001</v>
      </c>
      <c r="I18" s="112">
        <f t="shared" si="0"/>
        <v>9.824482690837591E-5</v>
      </c>
      <c r="J18" s="102">
        <v>2.9204300000000001E-5</v>
      </c>
      <c r="K18" s="92">
        <v>2.31E-4</v>
      </c>
      <c r="L18" s="94">
        <v>0.27286899999999997</v>
      </c>
      <c r="M18" s="112">
        <f t="shared" si="1"/>
        <v>7.7690830414467994E-5</v>
      </c>
    </row>
    <row r="19" spans="1:13" x14ac:dyDescent="0.2">
      <c r="A19" s="213"/>
      <c r="B19" s="216"/>
      <c r="C19" s="219"/>
      <c r="D19" s="89">
        <v>5</v>
      </c>
      <c r="E19" s="89">
        <v>1.194769</v>
      </c>
      <c r="F19" s="101">
        <v>2.3E-5</v>
      </c>
      <c r="G19" s="90">
        <v>1.8000000000000001E-4</v>
      </c>
      <c r="H19" s="91">
        <v>0.22203000000000001</v>
      </c>
      <c r="I19" s="112">
        <f t="shared" si="0"/>
        <v>4.9259244689436387E-5</v>
      </c>
      <c r="J19" s="101">
        <v>3.7149410000000001E-5</v>
      </c>
      <c r="K19" s="90">
        <v>2.9300000000000002E-4</v>
      </c>
      <c r="L19" s="91">
        <v>0.27286899999999997</v>
      </c>
      <c r="M19" s="112">
        <f t="shared" si="1"/>
        <v>9.8542914768134742E-5</v>
      </c>
    </row>
    <row r="20" spans="1:13" x14ac:dyDescent="0.2">
      <c r="A20" s="213"/>
      <c r="B20" s="216"/>
      <c r="C20" s="219"/>
      <c r="D20" s="93">
        <v>6</v>
      </c>
      <c r="E20" s="93">
        <v>2.4686149999999998</v>
      </c>
      <c r="F20" s="102">
        <v>3.0000000000000001E-6</v>
      </c>
      <c r="G20" s="92">
        <v>2.4000000000000001E-5</v>
      </c>
      <c r="H20" s="94">
        <v>0.22203000000000001</v>
      </c>
      <c r="I20" s="112">
        <f t="shared" si="0"/>
        <v>6.5678992919248519E-6</v>
      </c>
      <c r="J20" s="102">
        <v>3.2757740000000003E-5</v>
      </c>
      <c r="K20" s="92">
        <v>2.5900000000000001E-4</v>
      </c>
      <c r="L20" s="94">
        <v>0.27286899999999997</v>
      </c>
      <c r="M20" s="112">
        <f t="shared" si="1"/>
        <v>8.7107900767736853E-5</v>
      </c>
    </row>
    <row r="21" spans="1:13" ht="16" thickBot="1" x14ac:dyDescent="0.25">
      <c r="A21" s="214"/>
      <c r="B21" s="217"/>
      <c r="C21" s="220"/>
      <c r="D21" s="98">
        <v>7</v>
      </c>
      <c r="E21" s="98">
        <v>4.7531540000000003</v>
      </c>
      <c r="F21" s="104">
        <v>3.0000000000000001E-6</v>
      </c>
      <c r="G21" s="99">
        <v>2.1999999999999999E-5</v>
      </c>
      <c r="H21" s="100">
        <v>0.22203000000000001</v>
      </c>
      <c r="I21" s="113">
        <f t="shared" si="0"/>
        <v>6.0205743509311136E-6</v>
      </c>
      <c r="J21" s="104">
        <v>9.2532669999999997E-6</v>
      </c>
      <c r="K21" s="99">
        <v>7.2999999999999999E-5</v>
      </c>
      <c r="L21" s="100">
        <v>0.27286899999999997</v>
      </c>
      <c r="M21" s="113">
        <f t="shared" si="1"/>
        <v>2.4551647706736647E-5</v>
      </c>
    </row>
    <row r="25" spans="1:13" x14ac:dyDescent="0.2">
      <c r="A25" t="s">
        <v>228</v>
      </c>
      <c r="B25" t="s">
        <v>229</v>
      </c>
    </row>
  </sheetData>
  <mergeCells count="8">
    <mergeCell ref="A15:A21"/>
    <mergeCell ref="B15:B21"/>
    <mergeCell ref="C15:C21"/>
    <mergeCell ref="F5:H5"/>
    <mergeCell ref="J5:L5"/>
    <mergeCell ref="A8:A14"/>
    <mergeCell ref="B8:B14"/>
    <mergeCell ref="C8:C14"/>
  </mergeCells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8FAC-D69D-4C8A-B9CF-57D1F341AA3A}">
  <dimension ref="A1:P25"/>
  <sheetViews>
    <sheetView zoomScaleNormal="100" workbookViewId="0">
      <selection activeCell="M21" sqref="A1:M21"/>
    </sheetView>
  </sheetViews>
  <sheetFormatPr baseColWidth="10" defaultColWidth="8.83203125" defaultRowHeight="15" x14ac:dyDescent="0.2"/>
  <cols>
    <col min="1" max="1" width="18.5" customWidth="1"/>
    <col min="4" max="4" width="13" customWidth="1"/>
  </cols>
  <sheetData>
    <row r="1" spans="1:16" s="120" customFormat="1" ht="17" thickBot="1" x14ac:dyDescent="0.25">
      <c r="A1" s="117" t="s">
        <v>230</v>
      </c>
      <c r="B1" s="118" t="s">
        <v>45</v>
      </c>
      <c r="C1" s="118" t="s">
        <v>46</v>
      </c>
      <c r="D1" s="118" t="s">
        <v>47</v>
      </c>
      <c r="E1" s="119" t="s">
        <v>48</v>
      </c>
      <c r="F1" s="119"/>
      <c r="G1" s="119"/>
      <c r="H1" s="124"/>
      <c r="N1" s="121"/>
      <c r="O1" s="121"/>
      <c r="P1" s="121"/>
    </row>
    <row r="2" spans="1:16" s="1" customFormat="1" ht="35.5" customHeight="1" x14ac:dyDescent="0.2">
      <c r="A2" s="125" t="s">
        <v>52</v>
      </c>
      <c r="B2" s="38">
        <v>2.1800000000000002</v>
      </c>
      <c r="C2" s="38" t="s">
        <v>53</v>
      </c>
      <c r="D2" s="38" t="s">
        <v>54</v>
      </c>
      <c r="E2" s="122"/>
      <c r="F2" s="122"/>
      <c r="G2" s="122"/>
      <c r="H2" s="126"/>
      <c r="N2" s="123"/>
      <c r="O2" s="123"/>
      <c r="P2" s="123"/>
    </row>
    <row r="3" spans="1:16" s="1" customFormat="1" ht="17" thickBot="1" x14ac:dyDescent="0.25">
      <c r="A3" s="127" t="s">
        <v>55</v>
      </c>
      <c r="B3" s="47">
        <f>GridsAndSpokes!D7</f>
        <v>0.56538865625000012</v>
      </c>
      <c r="C3" s="47" t="s">
        <v>56</v>
      </c>
      <c r="D3" s="47"/>
      <c r="E3" s="128"/>
      <c r="F3" s="128"/>
      <c r="G3" s="128"/>
      <c r="H3" s="129"/>
      <c r="N3" s="123"/>
      <c r="O3" s="123"/>
      <c r="P3" s="123"/>
    </row>
    <row r="4" spans="1:16" ht="16" thickBot="1" x14ac:dyDescent="0.25">
      <c r="G4" s="2"/>
      <c r="H4" s="2"/>
      <c r="I4" s="2"/>
      <c r="N4" s="3"/>
      <c r="O4" s="3"/>
      <c r="P4" s="3"/>
    </row>
    <row r="5" spans="1:16" ht="16" thickBot="1" x14ac:dyDescent="0.25">
      <c r="A5" s="105"/>
      <c r="B5" s="106"/>
      <c r="C5" s="106"/>
      <c r="D5" s="106"/>
      <c r="E5" s="106" t="s">
        <v>220</v>
      </c>
      <c r="F5" s="221" t="s">
        <v>137</v>
      </c>
      <c r="G5" s="222"/>
      <c r="H5" s="222"/>
      <c r="I5" s="107"/>
      <c r="J5" s="221" t="s">
        <v>69</v>
      </c>
      <c r="K5" s="222"/>
      <c r="L5" s="222"/>
      <c r="M5" s="107"/>
    </row>
    <row r="6" spans="1:16" x14ac:dyDescent="0.2">
      <c r="A6" s="108"/>
      <c r="B6" s="109"/>
      <c r="C6" s="109"/>
      <c r="D6" s="109"/>
      <c r="E6" s="109"/>
      <c r="F6" s="108" t="s">
        <v>221</v>
      </c>
      <c r="G6" s="109" t="s">
        <v>222</v>
      </c>
      <c r="H6" s="109" t="s">
        <v>223</v>
      </c>
      <c r="I6" s="110" t="s">
        <v>58</v>
      </c>
      <c r="J6" s="108" t="s">
        <v>221</v>
      </c>
      <c r="K6" s="109" t="s">
        <v>222</v>
      </c>
      <c r="L6" s="109" t="s">
        <v>223</v>
      </c>
      <c r="M6" s="110" t="s">
        <v>58</v>
      </c>
    </row>
    <row r="7" spans="1:16" ht="25" thickBot="1" x14ac:dyDescent="0.25">
      <c r="A7" s="114" t="s">
        <v>68</v>
      </c>
      <c r="B7" s="115" t="s">
        <v>224</v>
      </c>
      <c r="C7" s="115" t="s">
        <v>72</v>
      </c>
      <c r="D7" s="115" t="s">
        <v>225</v>
      </c>
      <c r="E7" s="115" t="s">
        <v>226</v>
      </c>
      <c r="F7" s="114"/>
      <c r="G7" s="115"/>
      <c r="H7" s="115"/>
      <c r="I7" s="116"/>
      <c r="J7" s="114"/>
      <c r="K7" s="115"/>
      <c r="L7" s="115"/>
      <c r="M7" s="116"/>
    </row>
    <row r="8" spans="1:16" x14ac:dyDescent="0.2">
      <c r="A8" s="216" t="s">
        <v>231</v>
      </c>
      <c r="B8" s="216">
        <v>130</v>
      </c>
      <c r="C8" s="216" t="s">
        <v>84</v>
      </c>
      <c r="D8" s="93">
        <v>1</v>
      </c>
      <c r="E8" s="93">
        <v>8.6614999999999998E-2</v>
      </c>
      <c r="F8" s="102">
        <v>6.4424280000000005E-7</v>
      </c>
      <c r="G8" s="92">
        <v>1.9999999999999999E-6</v>
      </c>
      <c r="H8" s="94">
        <v>0.12875600000000001</v>
      </c>
      <c r="I8" s="112">
        <f t="shared" ref="I8:I21" si="0">G8*H8*$B$2*$B$3</f>
        <v>3.1739571275318506E-7</v>
      </c>
      <c r="J8" s="102">
        <v>2.3277880000000001E-7</v>
      </c>
      <c r="K8" s="92">
        <v>8.4039670000000003E-7</v>
      </c>
      <c r="L8" s="94">
        <v>0.12659500000000001</v>
      </c>
      <c r="M8" s="112">
        <f t="shared" ref="M8:M21" si="1">K8*L8*$B$2*$B$3</f>
        <v>1.3113072906423666E-7</v>
      </c>
    </row>
    <row r="9" spans="1:16" x14ac:dyDescent="0.2">
      <c r="A9" s="216"/>
      <c r="B9" s="216"/>
      <c r="C9" s="216"/>
      <c r="D9" s="89">
        <v>2</v>
      </c>
      <c r="E9" s="89">
        <v>0.16723099999999999</v>
      </c>
      <c r="F9" s="101">
        <v>1.040538E-6</v>
      </c>
      <c r="G9" s="90">
        <v>3.9999999999999998E-6</v>
      </c>
      <c r="H9" s="91">
        <v>0.12875600000000001</v>
      </c>
      <c r="I9" s="112">
        <f t="shared" si="0"/>
        <v>6.3479142550637013E-7</v>
      </c>
      <c r="J9" s="101">
        <v>2.7302250000000001E-7</v>
      </c>
      <c r="K9" s="90">
        <v>9.8568749999999991E-7</v>
      </c>
      <c r="L9" s="91">
        <v>0.12659500000000001</v>
      </c>
      <c r="M9" s="112">
        <f t="shared" si="1"/>
        <v>1.5380108049508614E-7</v>
      </c>
    </row>
    <row r="10" spans="1:16" x14ac:dyDescent="0.2">
      <c r="A10" s="216"/>
      <c r="B10" s="216"/>
      <c r="C10" s="216"/>
      <c r="D10" s="93">
        <v>3</v>
      </c>
      <c r="E10" s="93">
        <v>0.31884600000000002</v>
      </c>
      <c r="F10" s="102">
        <v>2.018002E-6</v>
      </c>
      <c r="G10" s="92">
        <v>6.9999999999999999E-6</v>
      </c>
      <c r="H10" s="94">
        <v>0.12875600000000001</v>
      </c>
      <c r="I10" s="112">
        <f t="shared" si="0"/>
        <v>1.1108849946361478E-6</v>
      </c>
      <c r="J10" s="102">
        <v>5.7886050000000005E-7</v>
      </c>
      <c r="K10" s="92">
        <v>2.0898479999999999E-6</v>
      </c>
      <c r="L10" s="94">
        <v>0.12659500000000001</v>
      </c>
      <c r="M10" s="112">
        <f t="shared" si="1"/>
        <v>3.260880151878712E-7</v>
      </c>
    </row>
    <row r="11" spans="1:16" x14ac:dyDescent="0.2">
      <c r="A11" s="216"/>
      <c r="B11" s="216"/>
      <c r="C11" s="216"/>
      <c r="D11" s="89">
        <v>4</v>
      </c>
      <c r="E11" s="89">
        <v>0.62284600000000001</v>
      </c>
      <c r="F11" s="101">
        <v>1.474377E-6</v>
      </c>
      <c r="G11" s="90">
        <v>5.0000000000000004E-6</v>
      </c>
      <c r="H11" s="91">
        <v>0.12875600000000001</v>
      </c>
      <c r="I11" s="112">
        <f t="shared" si="0"/>
        <v>7.9348928188296279E-7</v>
      </c>
      <c r="J11" s="101">
        <v>5.2595640000000005E-7</v>
      </c>
      <c r="K11" s="90">
        <v>1.89885E-6</v>
      </c>
      <c r="L11" s="91">
        <v>0.12659500000000001</v>
      </c>
      <c r="M11" s="112">
        <f t="shared" si="1"/>
        <v>2.9628577180708314E-7</v>
      </c>
    </row>
    <row r="12" spans="1:16" x14ac:dyDescent="0.2">
      <c r="A12" s="216"/>
      <c r="B12" s="216"/>
      <c r="C12" s="216"/>
      <c r="D12" s="93">
        <v>5</v>
      </c>
      <c r="E12" s="93">
        <v>1.194769</v>
      </c>
      <c r="F12" s="102">
        <v>0</v>
      </c>
      <c r="G12" s="92">
        <v>0</v>
      </c>
      <c r="H12" s="94">
        <v>0.12875600000000001</v>
      </c>
      <c r="I12" s="112">
        <f t="shared" si="0"/>
        <v>0</v>
      </c>
      <c r="J12" s="102">
        <v>-4.2702080000000001E-7</v>
      </c>
      <c r="K12" s="92">
        <v>-1.5416640000000001E-6</v>
      </c>
      <c r="L12" s="94">
        <v>0.12659500000000001</v>
      </c>
      <c r="M12" s="112">
        <f t="shared" si="1"/>
        <v>-2.4055249656749881E-7</v>
      </c>
    </row>
    <row r="13" spans="1:16" x14ac:dyDescent="0.2">
      <c r="A13" s="216"/>
      <c r="B13" s="216"/>
      <c r="C13" s="216"/>
      <c r="D13" s="89">
        <v>6</v>
      </c>
      <c r="E13" s="89">
        <v>2.4686149999999998</v>
      </c>
      <c r="F13" s="101">
        <v>0</v>
      </c>
      <c r="G13" s="90">
        <v>0</v>
      </c>
      <c r="H13" s="91">
        <v>0.12875600000000001</v>
      </c>
      <c r="I13" s="112">
        <f t="shared" si="0"/>
        <v>0</v>
      </c>
      <c r="J13" s="101">
        <v>0</v>
      </c>
      <c r="K13" s="90">
        <v>0</v>
      </c>
      <c r="L13" s="91">
        <v>0.12659500000000001</v>
      </c>
      <c r="M13" s="112">
        <f t="shared" si="1"/>
        <v>0</v>
      </c>
    </row>
    <row r="14" spans="1:16" ht="16" thickBot="1" x14ac:dyDescent="0.25">
      <c r="A14" s="216"/>
      <c r="B14" s="216"/>
      <c r="C14" s="216"/>
      <c r="D14" s="93">
        <v>7</v>
      </c>
      <c r="E14" s="93">
        <v>4.7531540000000003</v>
      </c>
      <c r="F14" s="102">
        <v>0</v>
      </c>
      <c r="G14" s="92">
        <v>0</v>
      </c>
      <c r="H14" s="94">
        <v>0.12875600000000001</v>
      </c>
      <c r="I14" s="112">
        <f t="shared" si="0"/>
        <v>0</v>
      </c>
      <c r="J14" s="102">
        <v>0</v>
      </c>
      <c r="K14" s="92">
        <v>0</v>
      </c>
      <c r="L14" s="94">
        <v>0.12659500000000001</v>
      </c>
      <c r="M14" s="112">
        <f t="shared" si="1"/>
        <v>0</v>
      </c>
    </row>
    <row r="15" spans="1:16" x14ac:dyDescent="0.2">
      <c r="A15" s="212" t="s">
        <v>231</v>
      </c>
      <c r="B15" s="215">
        <v>130</v>
      </c>
      <c r="C15" s="218" t="s">
        <v>99</v>
      </c>
      <c r="D15" s="95">
        <v>1</v>
      </c>
      <c r="E15" s="95">
        <v>8.6614999999999998E-2</v>
      </c>
      <c r="F15" s="103">
        <v>2.393507E-6</v>
      </c>
      <c r="G15" s="96">
        <v>9.0000000000000002E-6</v>
      </c>
      <c r="H15" s="97">
        <v>0.134349</v>
      </c>
      <c r="I15" s="111">
        <f t="shared" si="0"/>
        <v>1.4903234393507836E-6</v>
      </c>
      <c r="J15" s="103">
        <v>6.3765650000000002E-7</v>
      </c>
      <c r="K15" s="96">
        <v>2.280631E-6</v>
      </c>
      <c r="L15" s="97">
        <v>0.15786900000000001</v>
      </c>
      <c r="M15" s="111">
        <f t="shared" si="1"/>
        <v>4.4376747216535676E-7</v>
      </c>
    </row>
    <row r="16" spans="1:16" x14ac:dyDescent="0.2">
      <c r="A16" s="213"/>
      <c r="B16" s="216"/>
      <c r="C16" s="219"/>
      <c r="D16" s="93">
        <v>2</v>
      </c>
      <c r="E16" s="93">
        <v>0.16723099999999999</v>
      </c>
      <c r="F16" s="102">
        <v>5.9518920000000003E-6</v>
      </c>
      <c r="G16" s="92">
        <v>2.0999999999999999E-5</v>
      </c>
      <c r="H16" s="94">
        <v>0.134349</v>
      </c>
      <c r="I16" s="112">
        <f t="shared" si="0"/>
        <v>3.4774213584851611E-6</v>
      </c>
      <c r="J16" s="102">
        <v>1.8512209999999999E-6</v>
      </c>
      <c r="K16" s="92">
        <v>6.6210429999999999E-6</v>
      </c>
      <c r="L16" s="94">
        <v>0.15786900000000001</v>
      </c>
      <c r="M16" s="112">
        <f t="shared" si="1"/>
        <v>1.288329201527178E-6</v>
      </c>
    </row>
    <row r="17" spans="1:13" x14ac:dyDescent="0.2">
      <c r="A17" s="213"/>
      <c r="B17" s="216"/>
      <c r="C17" s="219"/>
      <c r="D17" s="89">
        <v>3</v>
      </c>
      <c r="E17" s="89">
        <v>0.31884600000000002</v>
      </c>
      <c r="F17" s="101">
        <v>8.5371709999999992E-6</v>
      </c>
      <c r="G17" s="90">
        <v>3.1000000000000001E-5</v>
      </c>
      <c r="H17" s="91">
        <v>0.134349</v>
      </c>
      <c r="I17" s="112">
        <f t="shared" si="0"/>
        <v>5.1333362910971438E-6</v>
      </c>
      <c r="J17" s="101">
        <v>2.56184E-6</v>
      </c>
      <c r="K17" s="90">
        <v>9.1626320000000002E-6</v>
      </c>
      <c r="L17" s="91">
        <v>0.15786900000000001</v>
      </c>
      <c r="M17" s="112">
        <f t="shared" si="1"/>
        <v>1.7828741436126259E-6</v>
      </c>
    </row>
    <row r="18" spans="1:13" x14ac:dyDescent="0.2">
      <c r="A18" s="213"/>
      <c r="B18" s="216"/>
      <c r="C18" s="219"/>
      <c r="D18" s="93">
        <v>4</v>
      </c>
      <c r="E18" s="93">
        <v>0.62284600000000001</v>
      </c>
      <c r="F18" s="102">
        <v>6.4893879999999997E-6</v>
      </c>
      <c r="G18" s="92">
        <v>2.3E-5</v>
      </c>
      <c r="H18" s="94">
        <v>0.134349</v>
      </c>
      <c r="I18" s="112">
        <f t="shared" si="0"/>
        <v>3.8086043450075575E-6</v>
      </c>
      <c r="J18" s="102">
        <v>1.540694E-6</v>
      </c>
      <c r="K18" s="92">
        <v>5.5104179999999999E-6</v>
      </c>
      <c r="L18" s="94">
        <v>0.15786900000000001</v>
      </c>
      <c r="M18" s="112">
        <f t="shared" si="1"/>
        <v>1.0722226727754207E-6</v>
      </c>
    </row>
    <row r="19" spans="1:13" x14ac:dyDescent="0.2">
      <c r="A19" s="213"/>
      <c r="B19" s="216"/>
      <c r="C19" s="219"/>
      <c r="D19" s="89">
        <v>5</v>
      </c>
      <c r="E19" s="89">
        <v>1.194769</v>
      </c>
      <c r="F19" s="101">
        <v>3.1319480000000001E-6</v>
      </c>
      <c r="G19" s="90">
        <v>1.1E-5</v>
      </c>
      <c r="H19" s="91">
        <v>0.134349</v>
      </c>
      <c r="I19" s="112">
        <f t="shared" si="0"/>
        <v>1.8215064258731798E-6</v>
      </c>
      <c r="J19" s="101">
        <v>5.5609629999999998E-7</v>
      </c>
      <c r="K19" s="90">
        <v>1.9889239999999999E-6</v>
      </c>
      <c r="L19" s="91">
        <v>0.15786900000000001</v>
      </c>
      <c r="M19" s="112">
        <f t="shared" si="1"/>
        <v>3.8700683092048199E-7</v>
      </c>
    </row>
    <row r="20" spans="1:13" x14ac:dyDescent="0.2">
      <c r="A20" s="213"/>
      <c r="B20" s="216"/>
      <c r="C20" s="219"/>
      <c r="D20" s="93">
        <v>6</v>
      </c>
      <c r="E20" s="93">
        <v>2.4686149999999998</v>
      </c>
      <c r="F20" s="102">
        <v>0</v>
      </c>
      <c r="G20" s="92">
        <v>0</v>
      </c>
      <c r="H20" s="94">
        <v>0.134349</v>
      </c>
      <c r="I20" s="112">
        <f t="shared" si="0"/>
        <v>0</v>
      </c>
      <c r="J20" s="102">
        <v>0</v>
      </c>
      <c r="K20" s="92">
        <v>0</v>
      </c>
      <c r="L20" s="94">
        <v>0.15786900000000001</v>
      </c>
      <c r="M20" s="112">
        <f t="shared" si="1"/>
        <v>0</v>
      </c>
    </row>
    <row r="21" spans="1:13" ht="16" thickBot="1" x14ac:dyDescent="0.25">
      <c r="A21" s="214"/>
      <c r="B21" s="217"/>
      <c r="C21" s="220"/>
      <c r="D21" s="98">
        <v>7</v>
      </c>
      <c r="E21" s="98">
        <v>4.7531540000000003</v>
      </c>
      <c r="F21" s="104">
        <v>0</v>
      </c>
      <c r="G21" s="99">
        <v>0</v>
      </c>
      <c r="H21" s="100">
        <v>0.134349</v>
      </c>
      <c r="I21" s="113">
        <f t="shared" si="0"/>
        <v>0</v>
      </c>
      <c r="J21" s="104">
        <v>0</v>
      </c>
      <c r="K21" s="99">
        <v>0</v>
      </c>
      <c r="L21" s="100">
        <v>0.15786900000000001</v>
      </c>
      <c r="M21" s="113">
        <f t="shared" si="1"/>
        <v>0</v>
      </c>
    </row>
    <row r="25" spans="1:13" x14ac:dyDescent="0.2">
      <c r="A25" t="s">
        <v>228</v>
      </c>
      <c r="B25" t="s">
        <v>232</v>
      </c>
    </row>
  </sheetData>
  <mergeCells count="8">
    <mergeCell ref="F5:H5"/>
    <mergeCell ref="C8:C14"/>
    <mergeCell ref="J5:L5"/>
    <mergeCell ref="C15:C21"/>
    <mergeCell ref="A8:A14"/>
    <mergeCell ref="B8:B14"/>
    <mergeCell ref="A15:A21"/>
    <mergeCell ref="B15:B21"/>
  </mergeCells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FAC3-CE41-4E5A-8C60-3B886C3B8430}">
  <dimension ref="A1:P38"/>
  <sheetViews>
    <sheetView zoomScaleNormal="100" workbookViewId="0">
      <selection activeCell="T30" sqref="T30"/>
    </sheetView>
  </sheetViews>
  <sheetFormatPr baseColWidth="10" defaultColWidth="8.83203125" defaultRowHeight="15" x14ac:dyDescent="0.2"/>
  <cols>
    <col min="6" max="6" width="12.33203125" customWidth="1"/>
    <col min="8" max="8" width="12.33203125" customWidth="1"/>
  </cols>
  <sheetData>
    <row r="1" spans="1:16" ht="17" thickBot="1" x14ac:dyDescent="0.25">
      <c r="A1" s="117" t="s">
        <v>230</v>
      </c>
      <c r="B1" s="118" t="s">
        <v>45</v>
      </c>
      <c r="C1" s="118" t="s">
        <v>46</v>
      </c>
      <c r="D1" s="118" t="s">
        <v>47</v>
      </c>
      <c r="E1" s="118"/>
      <c r="F1" s="119" t="s">
        <v>48</v>
      </c>
      <c r="G1" s="119"/>
      <c r="H1" s="119"/>
      <c r="I1" s="124"/>
      <c r="J1" s="120"/>
      <c r="K1" s="120"/>
      <c r="L1" s="120"/>
      <c r="M1" s="120"/>
      <c r="N1" s="120"/>
      <c r="O1" s="120"/>
      <c r="P1" s="120"/>
    </row>
    <row r="2" spans="1:16" ht="80" x14ac:dyDescent="0.2">
      <c r="A2" s="125" t="s">
        <v>52</v>
      </c>
      <c r="B2" s="38">
        <v>2.1800000000000002</v>
      </c>
      <c r="C2" s="38" t="s">
        <v>53</v>
      </c>
      <c r="D2" s="38" t="s">
        <v>54</v>
      </c>
      <c r="E2" s="38"/>
      <c r="F2" s="122"/>
      <c r="G2" s="122"/>
      <c r="H2" s="122"/>
      <c r="I2" s="126"/>
      <c r="J2" s="1"/>
      <c r="K2" s="1"/>
      <c r="L2" s="1"/>
      <c r="M2" s="1"/>
      <c r="N2" s="1"/>
      <c r="O2" s="1"/>
      <c r="P2" s="1"/>
    </row>
    <row r="3" spans="1:16" ht="49" thickBot="1" x14ac:dyDescent="0.25">
      <c r="A3" s="127" t="s">
        <v>55</v>
      </c>
      <c r="B3" s="47">
        <f>GridsAndSpokes!D7</f>
        <v>0.56538865625000012</v>
      </c>
      <c r="C3" s="47" t="s">
        <v>56</v>
      </c>
      <c r="D3" s="47"/>
      <c r="E3" s="47"/>
      <c r="F3" s="128"/>
      <c r="G3" s="128"/>
      <c r="H3" s="128"/>
      <c r="I3" s="129"/>
      <c r="J3" s="1"/>
      <c r="K3" s="1"/>
      <c r="L3" s="1"/>
      <c r="M3" s="1"/>
      <c r="N3" s="1"/>
      <c r="O3" s="1"/>
      <c r="P3" s="1"/>
    </row>
    <row r="4" spans="1:16" ht="16" thickBot="1" x14ac:dyDescent="0.25">
      <c r="H4" s="2"/>
      <c r="I4" s="2"/>
      <c r="J4" s="2"/>
    </row>
    <row r="5" spans="1:16" ht="16" thickBot="1" x14ac:dyDescent="0.25">
      <c r="A5" s="105"/>
      <c r="B5" s="106"/>
      <c r="C5" s="106"/>
      <c r="D5" s="106"/>
      <c r="E5" s="106"/>
      <c r="F5" s="106" t="s">
        <v>220</v>
      </c>
      <c r="G5" s="221" t="s">
        <v>137</v>
      </c>
      <c r="H5" s="222"/>
      <c r="I5" s="222"/>
      <c r="J5" s="107"/>
      <c r="K5" s="221" t="s">
        <v>69</v>
      </c>
      <c r="L5" s="222"/>
      <c r="M5" s="222"/>
      <c r="N5" s="107"/>
      <c r="O5" s="107"/>
      <c r="P5" s="107"/>
    </row>
    <row r="6" spans="1:16" x14ac:dyDescent="0.2">
      <c r="A6" s="108"/>
      <c r="B6" s="109"/>
      <c r="C6" s="109"/>
      <c r="D6" s="109"/>
      <c r="E6" s="109"/>
      <c r="F6" s="109"/>
      <c r="G6" s="108" t="s">
        <v>221</v>
      </c>
      <c r="H6" s="109" t="s">
        <v>222</v>
      </c>
      <c r="I6" s="109" t="s">
        <v>223</v>
      </c>
      <c r="J6" s="110" t="s">
        <v>58</v>
      </c>
      <c r="K6" s="108" t="s">
        <v>221</v>
      </c>
      <c r="L6" s="109" t="s">
        <v>222</v>
      </c>
      <c r="M6" s="109" t="s">
        <v>223</v>
      </c>
      <c r="N6" s="110" t="s">
        <v>58</v>
      </c>
      <c r="O6" s="110" t="s">
        <v>233</v>
      </c>
      <c r="P6" s="110"/>
    </row>
    <row r="7" spans="1:16" ht="37" thickBot="1" x14ac:dyDescent="0.25">
      <c r="A7" s="114" t="s">
        <v>68</v>
      </c>
      <c r="B7" s="115" t="s">
        <v>224</v>
      </c>
      <c r="C7" s="115" t="s">
        <v>72</v>
      </c>
      <c r="D7" s="115" t="s">
        <v>225</v>
      </c>
      <c r="E7" s="115" t="s">
        <v>234</v>
      </c>
      <c r="F7" s="115" t="s">
        <v>226</v>
      </c>
      <c r="G7" s="114"/>
      <c r="H7" s="115"/>
      <c r="I7" s="115"/>
      <c r="J7" s="116"/>
      <c r="K7" s="114"/>
      <c r="L7" s="115"/>
      <c r="M7" s="115"/>
      <c r="N7" s="116"/>
      <c r="O7" s="116"/>
      <c r="P7" s="116" t="s">
        <v>235</v>
      </c>
    </row>
    <row r="8" spans="1:16" x14ac:dyDescent="0.2">
      <c r="A8" s="215" t="s">
        <v>231</v>
      </c>
      <c r="B8" s="215">
        <v>130</v>
      </c>
      <c r="C8" s="215" t="s">
        <v>84</v>
      </c>
      <c r="D8" s="93">
        <v>1</v>
      </c>
      <c r="E8" s="93">
        <v>11.337747667124001</v>
      </c>
      <c r="F8" s="93">
        <v>8.6614999999999998E-2</v>
      </c>
      <c r="G8" s="102">
        <v>6.4424280000000005E-7</v>
      </c>
      <c r="H8" s="92">
        <v>1.9999999999999999E-6</v>
      </c>
      <c r="I8" s="94">
        <v>0.12875600000000001</v>
      </c>
      <c r="J8" s="112">
        <f t="shared" ref="J8:J21" si="0">H8*I8*$B$2*$B$3</f>
        <v>3.1739571275318506E-7</v>
      </c>
      <c r="K8" s="102">
        <v>2.3277880000000001E-7</v>
      </c>
      <c r="L8" s="92">
        <v>8.4039670000000003E-7</v>
      </c>
      <c r="M8" s="94">
        <v>0.12659500000000001</v>
      </c>
      <c r="N8" s="112">
        <f t="shared" ref="N8:N21" si="1">L8*M8*$B$2*$B$3</f>
        <v>1.3113072906423666E-7</v>
      </c>
      <c r="O8" s="112">
        <f>N8+J8</f>
        <v>4.4852644181742175E-7</v>
      </c>
      <c r="P8" s="112">
        <v>5.1910966532301002E-5</v>
      </c>
    </row>
    <row r="9" spans="1:16" x14ac:dyDescent="0.2">
      <c r="A9" s="216"/>
      <c r="B9" s="216"/>
      <c r="C9" s="216"/>
      <c r="D9" s="89">
        <v>2</v>
      </c>
      <c r="E9" s="89">
        <v>21.6051109590836</v>
      </c>
      <c r="F9" s="89">
        <v>0.16723099999999999</v>
      </c>
      <c r="G9" s="101">
        <v>1.040538E-6</v>
      </c>
      <c r="H9" s="90">
        <v>3.9999999999999998E-6</v>
      </c>
      <c r="I9" s="91">
        <v>0.12875600000000001</v>
      </c>
      <c r="J9" s="112">
        <f t="shared" si="0"/>
        <v>6.3479142550637013E-7</v>
      </c>
      <c r="K9" s="101">
        <v>2.7302250000000001E-7</v>
      </c>
      <c r="L9" s="90">
        <v>9.8568749999999991E-7</v>
      </c>
      <c r="M9" s="91">
        <v>0.12659500000000001</v>
      </c>
      <c r="N9" s="112">
        <f t="shared" si="1"/>
        <v>1.5380108049508614E-7</v>
      </c>
      <c r="O9" s="112">
        <f t="shared" ref="O9:O21" si="2">N9+J9</f>
        <v>7.8859250600145624E-7</v>
      </c>
      <c r="P9" s="112">
        <v>6.4727089518034958E-5</v>
      </c>
    </row>
    <row r="10" spans="1:16" x14ac:dyDescent="0.2">
      <c r="A10" s="216"/>
      <c r="B10" s="216"/>
      <c r="C10" s="216"/>
      <c r="D10" s="93">
        <v>3</v>
      </c>
      <c r="E10" s="93">
        <v>40.908563969994198</v>
      </c>
      <c r="F10" s="93">
        <v>0.31884600000000002</v>
      </c>
      <c r="G10" s="102">
        <v>2.018002E-6</v>
      </c>
      <c r="H10" s="92">
        <v>6.9999999999999999E-6</v>
      </c>
      <c r="I10" s="94">
        <v>0.12875600000000001</v>
      </c>
      <c r="J10" s="112">
        <f t="shared" si="0"/>
        <v>1.1108849946361478E-6</v>
      </c>
      <c r="K10" s="102">
        <v>5.7886050000000005E-7</v>
      </c>
      <c r="L10" s="92">
        <v>2.0898479999999999E-6</v>
      </c>
      <c r="M10" s="94">
        <v>0.12659500000000001</v>
      </c>
      <c r="N10" s="112">
        <f t="shared" si="1"/>
        <v>3.260880151878712E-7</v>
      </c>
      <c r="O10" s="112">
        <f t="shared" si="2"/>
        <v>1.4369730098240191E-6</v>
      </c>
      <c r="P10" s="112">
        <v>5.5418693647822859E-5</v>
      </c>
    </row>
    <row r="11" spans="1:16" x14ac:dyDescent="0.2">
      <c r="A11" s="216"/>
      <c r="B11" s="216"/>
      <c r="C11" s="216"/>
      <c r="D11" s="89">
        <v>4</v>
      </c>
      <c r="E11" s="89">
        <v>81.620316258526202</v>
      </c>
      <c r="F11" s="89">
        <v>0.62284600000000001</v>
      </c>
      <c r="G11" s="101">
        <v>1.474377E-6</v>
      </c>
      <c r="H11" s="90">
        <v>5.0000000000000004E-6</v>
      </c>
      <c r="I11" s="91">
        <v>0.12875600000000001</v>
      </c>
      <c r="J11" s="112">
        <f t="shared" si="0"/>
        <v>7.9348928188296279E-7</v>
      </c>
      <c r="K11" s="101">
        <v>5.2595640000000005E-7</v>
      </c>
      <c r="L11" s="90">
        <v>1.89885E-6</v>
      </c>
      <c r="M11" s="91">
        <v>0.12659500000000001</v>
      </c>
      <c r="N11" s="112">
        <f t="shared" si="1"/>
        <v>2.9628577180708314E-7</v>
      </c>
      <c r="O11" s="112">
        <f t="shared" si="2"/>
        <v>1.0897750536900459E-6</v>
      </c>
      <c r="P11" s="112">
        <v>5.0976040639123359E-6</v>
      </c>
    </row>
    <row r="12" spans="1:16" x14ac:dyDescent="0.2">
      <c r="A12" s="216"/>
      <c r="B12" s="216"/>
      <c r="C12" s="216"/>
      <c r="D12" s="93">
        <v>5</v>
      </c>
      <c r="E12" s="93">
        <v>155.61623190543401</v>
      </c>
      <c r="F12" s="93">
        <v>1.194769</v>
      </c>
      <c r="G12" s="102">
        <v>0</v>
      </c>
      <c r="H12" s="92">
        <v>0</v>
      </c>
      <c r="I12" s="94">
        <v>0.12875600000000001</v>
      </c>
      <c r="J12" s="112">
        <f t="shared" si="0"/>
        <v>0</v>
      </c>
      <c r="K12" s="102">
        <v>-4.2702080000000001E-7</v>
      </c>
      <c r="L12" s="92">
        <v>-1.5416640000000001E-6</v>
      </c>
      <c r="M12" s="94">
        <v>0.12659500000000001</v>
      </c>
      <c r="N12" s="112">
        <f t="shared" si="1"/>
        <v>-2.4055249656749881E-7</v>
      </c>
      <c r="O12" s="112">
        <f t="shared" si="2"/>
        <v>-2.4055249656749881E-7</v>
      </c>
      <c r="P12" s="112"/>
    </row>
    <row r="13" spans="1:16" x14ac:dyDescent="0.2">
      <c r="A13" s="216"/>
      <c r="B13" s="216"/>
      <c r="C13" s="216"/>
      <c r="D13" s="89">
        <v>6</v>
      </c>
      <c r="E13" s="89">
        <v>320.14235191964099</v>
      </c>
      <c r="F13" s="89">
        <v>2.4686149999999998</v>
      </c>
      <c r="G13" s="101">
        <v>0</v>
      </c>
      <c r="H13" s="90">
        <v>0</v>
      </c>
      <c r="I13" s="91">
        <v>0.12875600000000001</v>
      </c>
      <c r="J13" s="112">
        <f t="shared" si="0"/>
        <v>0</v>
      </c>
      <c r="K13" s="101">
        <v>0</v>
      </c>
      <c r="L13" s="90">
        <v>0</v>
      </c>
      <c r="M13" s="91">
        <v>0.12659500000000001</v>
      </c>
      <c r="N13" s="112">
        <f t="shared" si="1"/>
        <v>0</v>
      </c>
      <c r="O13" s="112">
        <f t="shared" si="2"/>
        <v>0</v>
      </c>
      <c r="P13" s="112"/>
    </row>
    <row r="14" spans="1:16" ht="16" thickBot="1" x14ac:dyDescent="0.25">
      <c r="A14" s="217"/>
      <c r="B14" s="217"/>
      <c r="C14" s="217"/>
      <c r="D14" s="93">
        <v>7</v>
      </c>
      <c r="E14" s="93">
        <v>618.72327340115703</v>
      </c>
      <c r="F14" s="93">
        <v>4.7531540000000003</v>
      </c>
      <c r="G14" s="102">
        <v>0</v>
      </c>
      <c r="H14" s="92">
        <v>0</v>
      </c>
      <c r="I14" s="94">
        <v>0.12875600000000001</v>
      </c>
      <c r="J14" s="112">
        <f t="shared" si="0"/>
        <v>0</v>
      </c>
      <c r="K14" s="102">
        <v>0</v>
      </c>
      <c r="L14" s="92">
        <v>0</v>
      </c>
      <c r="M14" s="94">
        <v>0.12659500000000001</v>
      </c>
      <c r="N14" s="112">
        <f t="shared" si="1"/>
        <v>0</v>
      </c>
      <c r="O14" s="112">
        <f t="shared" si="2"/>
        <v>0</v>
      </c>
      <c r="P14" s="112"/>
    </row>
    <row r="15" spans="1:16" x14ac:dyDescent="0.2">
      <c r="A15" s="212" t="s">
        <v>231</v>
      </c>
      <c r="B15" s="215">
        <v>130</v>
      </c>
      <c r="C15" s="218" t="s">
        <v>99</v>
      </c>
      <c r="D15" s="95">
        <v>1</v>
      </c>
      <c r="E15" s="95">
        <v>11.260513371849299</v>
      </c>
      <c r="F15" s="95">
        <v>8.6614999999999998E-2</v>
      </c>
      <c r="G15" s="103">
        <v>2.393507E-6</v>
      </c>
      <c r="H15" s="96">
        <v>9.0000000000000002E-6</v>
      </c>
      <c r="I15" s="97">
        <v>0.134349</v>
      </c>
      <c r="J15" s="111">
        <f t="shared" si="0"/>
        <v>1.4903234393507836E-6</v>
      </c>
      <c r="K15" s="103">
        <v>6.3765650000000002E-7</v>
      </c>
      <c r="L15" s="96">
        <v>2.280631E-6</v>
      </c>
      <c r="M15" s="97">
        <v>0.15786900000000001</v>
      </c>
      <c r="N15" s="111">
        <f t="shared" si="1"/>
        <v>4.4376747216535676E-7</v>
      </c>
      <c r="O15" s="111">
        <f t="shared" si="2"/>
        <v>1.9340909115161404E-6</v>
      </c>
      <c r="P15" s="111"/>
    </row>
    <row r="16" spans="1:16" x14ac:dyDescent="0.2">
      <c r="A16" s="213"/>
      <c r="B16" s="216"/>
      <c r="C16" s="219"/>
      <c r="D16" s="93">
        <v>2</v>
      </c>
      <c r="E16" s="93">
        <v>21.742011532620399</v>
      </c>
      <c r="F16" s="93">
        <v>0.16723099999999999</v>
      </c>
      <c r="G16" s="102">
        <v>5.9518920000000003E-6</v>
      </c>
      <c r="H16" s="92">
        <v>2.0999999999999999E-5</v>
      </c>
      <c r="I16" s="94">
        <v>0.134349</v>
      </c>
      <c r="J16" s="112">
        <f t="shared" si="0"/>
        <v>3.4774213584851611E-6</v>
      </c>
      <c r="K16" s="102">
        <v>1.8512209999999999E-6</v>
      </c>
      <c r="L16" s="92">
        <v>6.6210429999999999E-6</v>
      </c>
      <c r="M16" s="94">
        <v>0.15786900000000001</v>
      </c>
      <c r="N16" s="112">
        <f t="shared" si="1"/>
        <v>1.288329201527178E-6</v>
      </c>
      <c r="O16" s="112">
        <f t="shared" si="2"/>
        <v>4.7657505600123391E-6</v>
      </c>
      <c r="P16" s="112"/>
    </row>
    <row r="17" spans="1:16" x14ac:dyDescent="0.2">
      <c r="A17" s="213"/>
      <c r="B17" s="216"/>
      <c r="C17" s="219"/>
      <c r="D17" s="89">
        <v>3</v>
      </c>
      <c r="E17" s="89">
        <v>41.452767997538601</v>
      </c>
      <c r="F17" s="89">
        <v>0.31884600000000002</v>
      </c>
      <c r="G17" s="101">
        <v>8.5371709999999992E-6</v>
      </c>
      <c r="H17" s="90">
        <v>3.1000000000000001E-5</v>
      </c>
      <c r="I17" s="91">
        <v>0.134349</v>
      </c>
      <c r="J17" s="112">
        <f t="shared" si="0"/>
        <v>5.1333362910971438E-6</v>
      </c>
      <c r="K17" s="101">
        <v>2.56184E-6</v>
      </c>
      <c r="L17" s="90">
        <v>9.1626320000000002E-6</v>
      </c>
      <c r="M17" s="91">
        <v>0.15786900000000001</v>
      </c>
      <c r="N17" s="112">
        <f t="shared" si="1"/>
        <v>1.7828741436126259E-6</v>
      </c>
      <c r="O17" s="112">
        <f t="shared" si="2"/>
        <v>6.9162104347097699E-6</v>
      </c>
      <c r="P17" s="112"/>
    </row>
    <row r="18" spans="1:16" x14ac:dyDescent="0.2">
      <c r="A18" s="213"/>
      <c r="B18" s="216"/>
      <c r="C18" s="219"/>
      <c r="D18" s="93">
        <v>4</v>
      </c>
      <c r="E18" s="93">
        <v>80.971870884056102</v>
      </c>
      <c r="F18" s="93">
        <v>0.62284600000000001</v>
      </c>
      <c r="G18" s="102">
        <v>6.4893879999999997E-6</v>
      </c>
      <c r="H18" s="92">
        <v>2.3E-5</v>
      </c>
      <c r="I18" s="94">
        <v>0.134349</v>
      </c>
      <c r="J18" s="112">
        <f t="shared" si="0"/>
        <v>3.8086043450075575E-6</v>
      </c>
      <c r="K18" s="102">
        <v>1.540694E-6</v>
      </c>
      <c r="L18" s="92">
        <v>5.5104179999999999E-6</v>
      </c>
      <c r="M18" s="94">
        <v>0.15786900000000001</v>
      </c>
      <c r="N18" s="112">
        <f t="shared" si="1"/>
        <v>1.0722226727754207E-6</v>
      </c>
      <c r="O18" s="112">
        <f t="shared" si="2"/>
        <v>4.8808270177829786E-6</v>
      </c>
      <c r="P18" s="112"/>
    </row>
    <row r="19" spans="1:16" x14ac:dyDescent="0.2">
      <c r="A19" s="213"/>
      <c r="B19" s="216"/>
      <c r="C19" s="219"/>
      <c r="D19" s="89">
        <v>5</v>
      </c>
      <c r="E19" s="89">
        <v>155.317065889254</v>
      </c>
      <c r="F19" s="89">
        <v>1.194769</v>
      </c>
      <c r="G19" s="101">
        <v>3.1319480000000001E-6</v>
      </c>
      <c r="H19" s="90">
        <v>1.1E-5</v>
      </c>
      <c r="I19" s="91">
        <v>0.134349</v>
      </c>
      <c r="J19" s="112">
        <f t="shared" si="0"/>
        <v>1.8215064258731798E-6</v>
      </c>
      <c r="K19" s="101">
        <v>5.5609629999999998E-7</v>
      </c>
      <c r="L19" s="90">
        <v>1.9889239999999999E-6</v>
      </c>
      <c r="M19" s="91">
        <v>0.15786900000000001</v>
      </c>
      <c r="N19" s="112">
        <f t="shared" si="1"/>
        <v>3.8700683092048199E-7</v>
      </c>
      <c r="O19" s="112">
        <f t="shared" si="2"/>
        <v>2.2085132567936617E-6</v>
      </c>
      <c r="P19" s="112"/>
    </row>
    <row r="20" spans="1:16" x14ac:dyDescent="0.2">
      <c r="A20" s="213"/>
      <c r="B20" s="216"/>
      <c r="C20" s="219"/>
      <c r="D20" s="93">
        <v>6</v>
      </c>
      <c r="E20" s="93">
        <v>320.92</v>
      </c>
      <c r="F20" s="93">
        <v>2.4686149999999998</v>
      </c>
      <c r="G20" s="102">
        <v>0</v>
      </c>
      <c r="H20" s="92">
        <v>0</v>
      </c>
      <c r="I20" s="94">
        <v>0.134349</v>
      </c>
      <c r="J20" s="112">
        <f t="shared" si="0"/>
        <v>0</v>
      </c>
      <c r="K20" s="102">
        <v>0</v>
      </c>
      <c r="L20" s="92">
        <v>0</v>
      </c>
      <c r="M20" s="94">
        <v>0.15786900000000001</v>
      </c>
      <c r="N20" s="112">
        <f t="shared" si="1"/>
        <v>0</v>
      </c>
      <c r="O20" s="112">
        <f t="shared" si="2"/>
        <v>0</v>
      </c>
      <c r="P20" s="112"/>
    </row>
    <row r="21" spans="1:16" ht="16" thickBot="1" x14ac:dyDescent="0.25">
      <c r="A21" s="214"/>
      <c r="B21" s="217"/>
      <c r="C21" s="220"/>
      <c r="D21" s="98">
        <v>7</v>
      </c>
      <c r="E21" s="98">
        <v>617.91436917359397</v>
      </c>
      <c r="F21" s="98">
        <v>4.7531540000000003</v>
      </c>
      <c r="G21" s="104">
        <v>0</v>
      </c>
      <c r="H21" s="99">
        <v>0</v>
      </c>
      <c r="I21" s="100">
        <v>0.134349</v>
      </c>
      <c r="J21" s="113">
        <f t="shared" si="0"/>
        <v>0</v>
      </c>
      <c r="K21" s="104">
        <v>0</v>
      </c>
      <c r="L21" s="99">
        <v>0</v>
      </c>
      <c r="M21" s="100">
        <v>0.15786900000000001</v>
      </c>
      <c r="N21" s="113">
        <f t="shared" si="1"/>
        <v>0</v>
      </c>
      <c r="O21" s="113">
        <f t="shared" si="2"/>
        <v>0</v>
      </c>
      <c r="P21" s="113"/>
    </row>
    <row r="22" spans="1:16" ht="16" thickBot="1" x14ac:dyDescent="0.25">
      <c r="A22" s="105"/>
      <c r="B22" s="106"/>
      <c r="C22" s="106"/>
      <c r="D22" s="106"/>
      <c r="E22" s="106"/>
      <c r="F22" s="106" t="s">
        <v>220</v>
      </c>
      <c r="G22" s="221" t="s">
        <v>137</v>
      </c>
      <c r="H22" s="222"/>
      <c r="I22" s="222"/>
      <c r="J22" s="107"/>
      <c r="K22" s="221" t="s">
        <v>69</v>
      </c>
      <c r="L22" s="222"/>
      <c r="M22" s="222"/>
      <c r="N22" s="107"/>
      <c r="O22" s="107"/>
      <c r="P22" s="107"/>
    </row>
    <row r="23" spans="1:16" x14ac:dyDescent="0.2">
      <c r="A23" s="108"/>
      <c r="B23" s="109"/>
      <c r="C23" s="109"/>
      <c r="D23" s="109"/>
      <c r="E23" s="109"/>
      <c r="F23" s="109"/>
      <c r="G23" s="108" t="s">
        <v>221</v>
      </c>
      <c r="H23" s="109" t="s">
        <v>222</v>
      </c>
      <c r="I23" s="109" t="s">
        <v>223</v>
      </c>
      <c r="J23" s="110" t="s">
        <v>58</v>
      </c>
      <c r="K23" s="108" t="s">
        <v>221</v>
      </c>
      <c r="L23" s="109" t="s">
        <v>222</v>
      </c>
      <c r="M23" s="109" t="s">
        <v>223</v>
      </c>
      <c r="N23" s="110" t="s">
        <v>58</v>
      </c>
      <c r="O23" s="110" t="s">
        <v>233</v>
      </c>
      <c r="P23" s="110"/>
    </row>
    <row r="24" spans="1:16" ht="37" thickBot="1" x14ac:dyDescent="0.25">
      <c r="A24" s="114" t="s">
        <v>68</v>
      </c>
      <c r="B24" s="115" t="s">
        <v>224</v>
      </c>
      <c r="C24" s="115" t="s">
        <v>72</v>
      </c>
      <c r="D24" s="115" t="s">
        <v>225</v>
      </c>
      <c r="E24" s="115" t="s">
        <v>234</v>
      </c>
      <c r="F24" s="115" t="s">
        <v>226</v>
      </c>
      <c r="G24" s="114"/>
      <c r="H24" s="115"/>
      <c r="I24" s="115"/>
      <c r="J24" s="116"/>
      <c r="K24" s="114"/>
      <c r="L24" s="115"/>
      <c r="M24" s="115"/>
      <c r="N24" s="116"/>
      <c r="O24" s="116"/>
      <c r="P24" s="116" t="s">
        <v>236</v>
      </c>
    </row>
    <row r="25" spans="1:16" x14ac:dyDescent="0.2">
      <c r="A25" s="216" t="s">
        <v>227</v>
      </c>
      <c r="B25" s="216">
        <v>700</v>
      </c>
      <c r="C25" s="216" t="s">
        <v>84</v>
      </c>
      <c r="D25" s="93">
        <v>1</v>
      </c>
      <c r="E25" s="93">
        <v>11.337747667124001</v>
      </c>
      <c r="F25" s="93">
        <v>8.6614999999999998E-2</v>
      </c>
      <c r="G25" s="102">
        <v>9.0000000000000002E-6</v>
      </c>
      <c r="H25" s="92">
        <v>8.5000000000000006E-5</v>
      </c>
      <c r="I25" s="94">
        <v>8.7275000000000005E-2</v>
      </c>
      <c r="J25" s="112">
        <f t="shared" ref="J25:J38" si="3">H25*I25*$B$2*$B$3</f>
        <v>9.1434978587227388E-6</v>
      </c>
      <c r="K25" s="102">
        <v>2.3510360000000002E-6</v>
      </c>
      <c r="L25" s="92">
        <v>2.3E-5</v>
      </c>
      <c r="M25" s="94">
        <v>0.24060999999999999</v>
      </c>
      <c r="N25" s="112">
        <f t="shared" ref="N25:N38" si="4">L25*M25*$B$2*$B$3</f>
        <v>6.8209535720568699E-6</v>
      </c>
      <c r="O25" s="112">
        <f>N25+J25</f>
        <v>1.596445143077961E-5</v>
      </c>
      <c r="P25" s="112">
        <v>0</v>
      </c>
    </row>
    <row r="26" spans="1:16" x14ac:dyDescent="0.2">
      <c r="A26" s="216"/>
      <c r="B26" s="216"/>
      <c r="C26" s="216"/>
      <c r="D26" s="89">
        <v>2</v>
      </c>
      <c r="E26" s="89">
        <v>21.6051109590836</v>
      </c>
      <c r="F26" s="89">
        <v>0.16723099999999999</v>
      </c>
      <c r="G26" s="101">
        <v>1.9000000000000001E-5</v>
      </c>
      <c r="H26" s="90">
        <v>1.8799999999999999E-4</v>
      </c>
      <c r="I26" s="91">
        <v>8.7275000000000005E-2</v>
      </c>
      <c r="J26" s="112">
        <f t="shared" si="3"/>
        <v>2.0223265852233815E-5</v>
      </c>
      <c r="K26" s="101">
        <v>1.6169820000000001E-6</v>
      </c>
      <c r="L26" s="90">
        <v>1.5999999999999999E-5</v>
      </c>
      <c r="M26" s="91">
        <v>0.24060999999999999</v>
      </c>
      <c r="N26" s="112">
        <f t="shared" si="4"/>
        <v>4.7450111805613014E-6</v>
      </c>
      <c r="O26" s="112">
        <f t="shared" ref="O26:O38" si="5">N26+J26</f>
        <v>2.4968277032795117E-5</v>
      </c>
      <c r="P26" s="112">
        <v>1.6465181858008699E-4</v>
      </c>
    </row>
    <row r="27" spans="1:16" x14ac:dyDescent="0.2">
      <c r="A27" s="216"/>
      <c r="B27" s="216"/>
      <c r="C27" s="216"/>
      <c r="D27" s="93">
        <v>3</v>
      </c>
      <c r="E27" s="93">
        <v>40.908563969994198</v>
      </c>
      <c r="F27" s="93">
        <v>0.31884600000000002</v>
      </c>
      <c r="G27" s="102">
        <v>1.9000000000000001E-5</v>
      </c>
      <c r="H27" s="92">
        <v>1.8699999999999999E-4</v>
      </c>
      <c r="I27" s="94">
        <v>8.7275000000000005E-2</v>
      </c>
      <c r="J27" s="112">
        <f t="shared" si="3"/>
        <v>2.0115695289190019E-5</v>
      </c>
      <c r="K27" s="102">
        <v>5.3523340000000001E-6</v>
      </c>
      <c r="L27" s="92">
        <v>5.3000000000000001E-5</v>
      </c>
      <c r="M27" s="94">
        <v>0.24060999999999999</v>
      </c>
      <c r="N27" s="112">
        <f t="shared" si="4"/>
        <v>1.5717849535609312E-5</v>
      </c>
      <c r="O27" s="112">
        <f t="shared" si="5"/>
        <v>3.5833544824799331E-5</v>
      </c>
      <c r="P27" s="112">
        <v>2.187109159317157E-4</v>
      </c>
    </row>
    <row r="28" spans="1:16" x14ac:dyDescent="0.2">
      <c r="A28" s="216"/>
      <c r="B28" s="216"/>
      <c r="C28" s="216"/>
      <c r="D28" s="89">
        <v>4</v>
      </c>
      <c r="E28" s="89">
        <v>81.620316258526202</v>
      </c>
      <c r="F28" s="89">
        <v>0.62284600000000001</v>
      </c>
      <c r="G28" s="101">
        <v>1.2999999999999999E-5</v>
      </c>
      <c r="H28" s="90">
        <v>1.2300000000000001E-4</v>
      </c>
      <c r="I28" s="91">
        <v>8.7275000000000005E-2</v>
      </c>
      <c r="J28" s="112">
        <f t="shared" si="3"/>
        <v>1.323117925438702E-5</v>
      </c>
      <c r="K28" s="101">
        <v>1.06163E-5</v>
      </c>
      <c r="L28" s="90">
        <v>1.0399999999999999E-4</v>
      </c>
      <c r="M28" s="91">
        <v>0.24060999999999999</v>
      </c>
      <c r="N28" s="112">
        <f t="shared" si="4"/>
        <v>3.0842572673648459E-5</v>
      </c>
      <c r="O28" s="112">
        <f t="shared" si="5"/>
        <v>4.4073751928035478E-5</v>
      </c>
      <c r="P28" s="112">
        <v>6.5476762600490346E-5</v>
      </c>
    </row>
    <row r="29" spans="1:16" x14ac:dyDescent="0.2">
      <c r="A29" s="216"/>
      <c r="B29" s="216"/>
      <c r="C29" s="216"/>
      <c r="D29" s="93">
        <v>5</v>
      </c>
      <c r="E29" s="93">
        <v>155.61623190543401</v>
      </c>
      <c r="F29" s="93">
        <v>1.194769</v>
      </c>
      <c r="G29" s="102">
        <v>3.9999999999999998E-6</v>
      </c>
      <c r="H29" s="92">
        <v>4.3000000000000002E-5</v>
      </c>
      <c r="I29" s="94">
        <v>8.7275000000000005E-2</v>
      </c>
      <c r="J29" s="112">
        <f t="shared" si="3"/>
        <v>4.6255342108832676E-6</v>
      </c>
      <c r="K29" s="102">
        <v>1.390272E-5</v>
      </c>
      <c r="L29" s="92">
        <v>1.37E-4</v>
      </c>
      <c r="M29" s="94">
        <v>0.24060999999999999</v>
      </c>
      <c r="N29" s="112">
        <f t="shared" si="4"/>
        <v>4.0629158233556134E-5</v>
      </c>
      <c r="O29" s="112">
        <f t="shared" si="5"/>
        <v>4.5254692444439404E-5</v>
      </c>
      <c r="P29" s="112">
        <v>4.4452497397072844E-5</v>
      </c>
    </row>
    <row r="30" spans="1:16" x14ac:dyDescent="0.2">
      <c r="A30" s="216"/>
      <c r="B30" s="216"/>
      <c r="C30" s="216"/>
      <c r="D30" s="89">
        <v>6</v>
      </c>
      <c r="E30" s="89">
        <v>320.14235191964099</v>
      </c>
      <c r="F30" s="89">
        <v>2.4686149999999998</v>
      </c>
      <c r="G30" s="101">
        <v>0</v>
      </c>
      <c r="H30" s="90">
        <v>0</v>
      </c>
      <c r="I30" s="91">
        <v>8.7275000000000005E-2</v>
      </c>
      <c r="J30" s="112">
        <f t="shared" si="3"/>
        <v>0</v>
      </c>
      <c r="K30" s="101">
        <v>1.1575420000000001E-5</v>
      </c>
      <c r="L30" s="90">
        <v>1.1400000000000001E-4</v>
      </c>
      <c r="M30" s="91">
        <v>0.24060999999999999</v>
      </c>
      <c r="N30" s="112">
        <f t="shared" si="4"/>
        <v>3.3808204661499274E-5</v>
      </c>
      <c r="O30" s="112">
        <f t="shared" si="5"/>
        <v>3.3808204661499274E-5</v>
      </c>
      <c r="P30" s="112">
        <v>8.0078025639152308E-6</v>
      </c>
    </row>
    <row r="31" spans="1:16" ht="16" thickBot="1" x14ac:dyDescent="0.25">
      <c r="A31" s="216"/>
      <c r="B31" s="216"/>
      <c r="C31" s="216"/>
      <c r="D31" s="93">
        <v>7</v>
      </c>
      <c r="E31" s="93">
        <v>618.72327340115703</v>
      </c>
      <c r="F31" s="93">
        <v>4.7531540000000003</v>
      </c>
      <c r="G31" s="102">
        <v>0</v>
      </c>
      <c r="H31" s="92">
        <v>0</v>
      </c>
      <c r="I31" s="94">
        <v>8.7275000000000005E-2</v>
      </c>
      <c r="J31" s="112">
        <f t="shared" si="3"/>
        <v>0</v>
      </c>
      <c r="K31" s="102">
        <v>5.8574269999999995E-7</v>
      </c>
      <c r="L31" s="92">
        <v>6.0000000000000002E-6</v>
      </c>
      <c r="M31" s="94">
        <v>0.24060999999999999</v>
      </c>
      <c r="N31" s="112">
        <f t="shared" si="4"/>
        <v>1.779379192710488E-6</v>
      </c>
      <c r="O31" s="112">
        <f t="shared" si="5"/>
        <v>1.779379192710488E-6</v>
      </c>
      <c r="P31" s="112"/>
    </row>
    <row r="32" spans="1:16" x14ac:dyDescent="0.2">
      <c r="A32" s="212" t="s">
        <v>227</v>
      </c>
      <c r="B32" s="215">
        <v>700</v>
      </c>
      <c r="C32" s="218" t="s">
        <v>99</v>
      </c>
      <c r="D32" s="95">
        <v>1</v>
      </c>
      <c r="E32" s="95">
        <v>11.260513371849299</v>
      </c>
      <c r="F32" s="95">
        <v>8.6614999999999998E-2</v>
      </c>
      <c r="G32" s="103">
        <v>2.5999999999999998E-5</v>
      </c>
      <c r="H32" s="96">
        <v>2.02E-4</v>
      </c>
      <c r="I32" s="97">
        <v>0.22203000000000001</v>
      </c>
      <c r="J32" s="111">
        <f t="shared" si="3"/>
        <v>5.5279819040367507E-5</v>
      </c>
      <c r="K32" s="103">
        <v>7.7763000000000004E-6</v>
      </c>
      <c r="L32" s="96">
        <v>6.0999999999999999E-5</v>
      </c>
      <c r="M32" s="97">
        <v>0.27286899999999997</v>
      </c>
      <c r="N32" s="111">
        <f t="shared" si="4"/>
        <v>2.0515760412478565E-5</v>
      </c>
      <c r="O32" s="111">
        <f t="shared" si="5"/>
        <v>7.5795579452846073E-5</v>
      </c>
      <c r="P32" s="111"/>
    </row>
    <row r="33" spans="1:16" x14ac:dyDescent="0.2">
      <c r="A33" s="213"/>
      <c r="B33" s="216"/>
      <c r="C33" s="219"/>
      <c r="D33" s="93">
        <v>2</v>
      </c>
      <c r="E33" s="93">
        <v>21.742011532620399</v>
      </c>
      <c r="F33" s="93">
        <v>0.16723099999999999</v>
      </c>
      <c r="G33" s="102">
        <v>5.8999999999999998E-5</v>
      </c>
      <c r="H33" s="92">
        <v>4.6200000000000001E-4</v>
      </c>
      <c r="I33" s="94">
        <v>0.22203000000000001</v>
      </c>
      <c r="J33" s="112">
        <f t="shared" si="3"/>
        <v>1.2643206136955343E-4</v>
      </c>
      <c r="K33" s="102">
        <v>7.4948370000000002E-6</v>
      </c>
      <c r="L33" s="92">
        <v>5.8999999999999998E-5</v>
      </c>
      <c r="M33" s="94">
        <v>0.27286899999999997</v>
      </c>
      <c r="N33" s="112">
        <f t="shared" si="4"/>
        <v>1.9843112530102217E-5</v>
      </c>
      <c r="O33" s="112">
        <f t="shared" si="5"/>
        <v>1.4627517389965565E-4</v>
      </c>
      <c r="P33" s="112"/>
    </row>
    <row r="34" spans="1:16" x14ac:dyDescent="0.2">
      <c r="A34" s="213"/>
      <c r="B34" s="216"/>
      <c r="C34" s="219"/>
      <c r="D34" s="89">
        <v>3</v>
      </c>
      <c r="E34" s="89">
        <v>41.452767997538601</v>
      </c>
      <c r="F34" s="89">
        <v>0.31884600000000002</v>
      </c>
      <c r="G34" s="101">
        <v>6.0999999999999999E-5</v>
      </c>
      <c r="H34" s="90">
        <v>4.8500000000000003E-4</v>
      </c>
      <c r="I34" s="91">
        <v>0.22203000000000001</v>
      </c>
      <c r="J34" s="112">
        <f t="shared" si="3"/>
        <v>1.3272629819098138E-4</v>
      </c>
      <c r="K34" s="101">
        <v>1.6752520000000001E-5</v>
      </c>
      <c r="L34" s="90">
        <v>1.3200000000000001E-4</v>
      </c>
      <c r="M34" s="91">
        <v>0.27286899999999997</v>
      </c>
      <c r="N34" s="112">
        <f t="shared" si="4"/>
        <v>4.4394760236838856E-5</v>
      </c>
      <c r="O34" s="112">
        <f t="shared" si="5"/>
        <v>1.7712105842782023E-4</v>
      </c>
      <c r="P34" s="112"/>
    </row>
    <row r="35" spans="1:16" x14ac:dyDescent="0.2">
      <c r="A35" s="213"/>
      <c r="B35" s="216"/>
      <c r="C35" s="219"/>
      <c r="D35" s="93">
        <v>4</v>
      </c>
      <c r="E35" s="93">
        <v>80.971870884056102</v>
      </c>
      <c r="F35" s="93">
        <v>0.62284600000000001</v>
      </c>
      <c r="G35" s="102">
        <v>4.5000000000000003E-5</v>
      </c>
      <c r="H35" s="92">
        <v>3.59E-4</v>
      </c>
      <c r="I35" s="94">
        <v>0.22203000000000001</v>
      </c>
      <c r="J35" s="112">
        <f t="shared" si="3"/>
        <v>9.824482690837591E-5</v>
      </c>
      <c r="K35" s="102">
        <v>2.9204300000000001E-5</v>
      </c>
      <c r="L35" s="92">
        <v>2.31E-4</v>
      </c>
      <c r="M35" s="94">
        <v>0.27286899999999997</v>
      </c>
      <c r="N35" s="112">
        <f t="shared" si="4"/>
        <v>7.7690830414467994E-5</v>
      </c>
      <c r="O35" s="112">
        <f t="shared" si="5"/>
        <v>1.7593565732284389E-4</v>
      </c>
      <c r="P35" s="112"/>
    </row>
    <row r="36" spans="1:16" x14ac:dyDescent="0.2">
      <c r="A36" s="213"/>
      <c r="B36" s="216"/>
      <c r="C36" s="219"/>
      <c r="D36" s="89">
        <v>5</v>
      </c>
      <c r="E36" s="89">
        <v>155.317065889254</v>
      </c>
      <c r="F36" s="89">
        <v>1.194769</v>
      </c>
      <c r="G36" s="101">
        <v>2.3E-5</v>
      </c>
      <c r="H36" s="90">
        <v>1.8000000000000001E-4</v>
      </c>
      <c r="I36" s="91">
        <v>0.22203000000000001</v>
      </c>
      <c r="J36" s="112">
        <f t="shared" si="3"/>
        <v>4.9259244689436387E-5</v>
      </c>
      <c r="K36" s="101">
        <v>3.7149410000000001E-5</v>
      </c>
      <c r="L36" s="90">
        <v>2.9300000000000002E-4</v>
      </c>
      <c r="M36" s="91">
        <v>0.27286899999999997</v>
      </c>
      <c r="N36" s="112">
        <f t="shared" si="4"/>
        <v>9.8542914768134742E-5</v>
      </c>
      <c r="O36" s="112">
        <f t="shared" si="5"/>
        <v>1.4780215945757114E-4</v>
      </c>
      <c r="P36" s="112"/>
    </row>
    <row r="37" spans="1:16" x14ac:dyDescent="0.2">
      <c r="A37" s="213"/>
      <c r="B37" s="216"/>
      <c r="C37" s="219"/>
      <c r="D37" s="93">
        <v>6</v>
      </c>
      <c r="E37" s="93">
        <v>320.92</v>
      </c>
      <c r="F37" s="93">
        <v>2.4686149999999998</v>
      </c>
      <c r="G37" s="102">
        <v>3.0000000000000001E-6</v>
      </c>
      <c r="H37" s="92">
        <v>2.4000000000000001E-5</v>
      </c>
      <c r="I37" s="94">
        <v>0.22203000000000001</v>
      </c>
      <c r="J37" s="112">
        <f t="shared" si="3"/>
        <v>6.5678992919248519E-6</v>
      </c>
      <c r="K37" s="102">
        <v>3.2757740000000003E-5</v>
      </c>
      <c r="L37" s="92">
        <v>2.5900000000000001E-4</v>
      </c>
      <c r="M37" s="94">
        <v>0.27286899999999997</v>
      </c>
      <c r="N37" s="112">
        <f t="shared" si="4"/>
        <v>8.7107900767736853E-5</v>
      </c>
      <c r="O37" s="112">
        <f t="shared" si="5"/>
        <v>9.3675800059661709E-5</v>
      </c>
      <c r="P37" s="112"/>
    </row>
    <row r="38" spans="1:16" ht="16" thickBot="1" x14ac:dyDescent="0.25">
      <c r="A38" s="214"/>
      <c r="B38" s="217"/>
      <c r="C38" s="220"/>
      <c r="D38" s="98">
        <v>7</v>
      </c>
      <c r="E38" s="98">
        <v>617.91436917359397</v>
      </c>
      <c r="F38" s="98">
        <v>4.7531540000000003</v>
      </c>
      <c r="G38" s="104">
        <v>3.0000000000000001E-6</v>
      </c>
      <c r="H38" s="99">
        <v>2.1999999999999999E-5</v>
      </c>
      <c r="I38" s="100">
        <v>0.22203000000000001</v>
      </c>
      <c r="J38" s="113">
        <f t="shared" si="3"/>
        <v>6.0205743509311136E-6</v>
      </c>
      <c r="K38" s="104">
        <v>9.2532669999999997E-6</v>
      </c>
      <c r="L38" s="99">
        <v>7.2999999999999999E-5</v>
      </c>
      <c r="M38" s="100">
        <v>0.27286899999999997</v>
      </c>
      <c r="N38" s="113">
        <f t="shared" si="4"/>
        <v>2.4551647706736647E-5</v>
      </c>
      <c r="O38" s="113">
        <f t="shared" si="5"/>
        <v>3.0572222057667763E-5</v>
      </c>
      <c r="P38" s="113"/>
    </row>
  </sheetData>
  <mergeCells count="16">
    <mergeCell ref="A32:A38"/>
    <mergeCell ref="B32:B38"/>
    <mergeCell ref="C32:C38"/>
    <mergeCell ref="G5:I5"/>
    <mergeCell ref="K5:M5"/>
    <mergeCell ref="A8:A14"/>
    <mergeCell ref="B8:B14"/>
    <mergeCell ref="C8:C14"/>
    <mergeCell ref="A15:A21"/>
    <mergeCell ref="B15:B21"/>
    <mergeCell ref="C15:C21"/>
    <mergeCell ref="G22:I22"/>
    <mergeCell ref="K22:M22"/>
    <mergeCell ref="A25:A31"/>
    <mergeCell ref="B25:B31"/>
    <mergeCell ref="C25:C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056136A096BB45B68F46439EEB1BEA" ma:contentTypeVersion="16" ma:contentTypeDescription="Create a new document." ma:contentTypeScope="" ma:versionID="471713851136851c9e9dc0b213d66e62">
  <xsd:schema xmlns:xsd="http://www.w3.org/2001/XMLSchema" xmlns:xs="http://www.w3.org/2001/XMLSchema" xmlns:p="http://schemas.microsoft.com/office/2006/metadata/properties" xmlns:ns2="7a834003-1f3f-4d25-9463-7452a5d06d1d" xmlns:ns3="9fe4fd8c-7a8f-4612-be0d-62eef2bd99c0" targetNamespace="http://schemas.microsoft.com/office/2006/metadata/properties" ma:root="true" ma:fieldsID="7c80abef7448e37336f87e879309e8f5" ns2:_="" ns3:_="">
    <xsd:import namespace="7a834003-1f3f-4d25-9463-7452a5d06d1d"/>
    <xsd:import namespace="9fe4fd8c-7a8f-4612-be0d-62eef2bd9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csv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34003-1f3f-4d25-9463-7452a5d06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04022ad-ef34-4d1e-9200-18c9974f96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sv" ma:index="23" nillable="true" ma:displayName="csv" ma:format="Dropdown" ma:internalName="csv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4fd8c-7a8f-4612-be0d-62eef2bd99c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00f46f-a551-4ff7-9fce-f62e1b1d7dce}" ma:internalName="TaxCatchAll" ma:showField="CatchAllData" ma:web="9fe4fd8c-7a8f-4612-be0d-62eef2bd9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e4fd8c-7a8f-4612-be0d-62eef2bd99c0" xsi:nil="true"/>
    <lcf76f155ced4ddcb4097134ff3c332f xmlns="7a834003-1f3f-4d25-9463-7452a5d06d1d">
      <Terms xmlns="http://schemas.microsoft.com/office/infopath/2007/PartnerControls"/>
    </lcf76f155ced4ddcb4097134ff3c332f>
    <csv xmlns="7a834003-1f3f-4d25-9463-7452a5d06d1d" xsi:nil="true"/>
  </documentManagement>
</p:properties>
</file>

<file path=customXml/itemProps1.xml><?xml version="1.0" encoding="utf-8"?>
<ds:datastoreItem xmlns:ds="http://purl.oclc.org/ooxml/officeDocument/customXml" ds:itemID="{F3C03C44-AC69-41C1-8175-8756B5FD9E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834003-1f3f-4d25-9463-7452a5d06d1d"/>
    <ds:schemaRef ds:uri="9fe4fd8c-7a8f-4612-be0d-62eef2bd9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F979E1E7-6290-48A1-A5A1-A17F1EF5FAD2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D4D78EE3-FCC4-4FC6-9187-4BD9FB736EC4}">
  <ds:schemaRefs>
    <ds:schemaRef ds:uri="http://schemas.microsoft.com/office/2006/metadata/properties"/>
    <ds:schemaRef ds:uri="http://schemas.microsoft.com/office/infopath/2007/PartnerControls"/>
    <ds:schemaRef ds:uri="9fe4fd8c-7a8f-4612-be0d-62eef2bd99c0"/>
    <ds:schemaRef ds:uri="7a834003-1f3f-4d25-9463-7452a5d06d1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Version history</vt:lpstr>
      <vt:lpstr>GridsAndSpokes</vt:lpstr>
      <vt:lpstr>H GF</vt:lpstr>
      <vt:lpstr>O_KE_Response_vals</vt:lpstr>
      <vt:lpstr>H_KE_Response_vals</vt:lpstr>
      <vt:lpstr>O GF</vt:lpstr>
      <vt:lpstr>O Error</vt:lpstr>
      <vt:lpstr>IBEX GF Compare</vt:lpstr>
      <vt:lpstr>Ne GF</vt:lpstr>
      <vt:lpstr>He GF</vt:lpstr>
      <vt:lpstr>Sputtered Ibex-Comp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Schwadron</cp:lastModifiedBy>
  <cp:revision/>
  <dcterms:created xsi:type="dcterms:W3CDTF">2024-12-17T18:56:13Z</dcterms:created>
  <dcterms:modified xsi:type="dcterms:W3CDTF">2026-06-06T23:19:27Z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0x010100C7056136A096BB45B68F46439EEB1BEA</vt:lpwstr>
  </property>
  <property fmtid="{D5CDD505-2E9C-101B-9397-08002B2CF9AE}" pid="3" name="MediaServiceImageTags">
    <vt:lpwstr/>
  </property>
</Properties>
</file>
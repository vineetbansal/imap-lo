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schwadron/Computer/IMAP_Lo/quickpipeline/doc/memos/IMAPLo_Geo_changes_20260606/"/>
    </mc:Choice>
  </mc:AlternateContent>
  <xr:revisionPtr revIDLastSave="0" documentId="8_{50DC184C-DD9A-FD44-B33B-9B550A36989A}" xr6:coauthVersionLast="47" xr6:coauthVersionMax="47" xr10:uidLastSave="{00000000-0000-0000-0000-000000000000}"/>
  <bookViews>
    <workbookView xWindow="4100" yWindow="2900" windowWidth="23380" windowHeight="17600" xr2:uid="{A298BC26-098F-0E4B-9E4A-54E8CB0FB7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C23" i="1"/>
  <c r="B23" i="1"/>
  <c r="D21" i="1"/>
  <c r="C21" i="1"/>
  <c r="B21" i="1"/>
  <c r="D19" i="1"/>
  <c r="C19" i="1"/>
  <c r="B19" i="1"/>
  <c r="D15" i="1"/>
  <c r="C15" i="1"/>
  <c r="B15" i="1"/>
  <c r="D13" i="1"/>
  <c r="C13" i="1"/>
  <c r="D6" i="1"/>
  <c r="C6" i="1"/>
  <c r="D9" i="1"/>
  <c r="C9" i="1"/>
  <c r="D5" i="1"/>
  <c r="D4" i="1"/>
  <c r="C4" i="1"/>
</calcChain>
</file>

<file path=xl/sharedStrings.xml><?xml version="1.0" encoding="utf-8"?>
<sst xmlns="http://schemas.openxmlformats.org/spreadsheetml/2006/main" count="22" uniqueCount="22">
  <si>
    <t xml:space="preserve">Factor reduction in geometric factor </t>
  </si>
  <si>
    <t>Hi-Lo comparison</t>
  </si>
  <si>
    <t xml:space="preserve">low </t>
  </si>
  <si>
    <t xml:space="preserve">high </t>
  </si>
  <si>
    <t>ISN comparison He</t>
  </si>
  <si>
    <t>He sputter response</t>
  </si>
  <si>
    <t>contributors</t>
  </si>
  <si>
    <t>H- in OH-</t>
  </si>
  <si>
    <t>comments</t>
  </si>
  <si>
    <t xml:space="preserve">ingored for now </t>
  </si>
  <si>
    <t>average</t>
  </si>
  <si>
    <t xml:space="preserve">Total </t>
  </si>
  <si>
    <t>Result</t>
  </si>
  <si>
    <t>GeoCorr</t>
  </si>
  <si>
    <t>Upper uncertainty</t>
  </si>
  <si>
    <t xml:space="preserve">Lower uncertainty </t>
  </si>
  <si>
    <t>Example</t>
  </si>
  <si>
    <t>Before corre</t>
  </si>
  <si>
    <t xml:space="preserve">Revised </t>
  </si>
  <si>
    <t xml:space="preserve">Flux before </t>
  </si>
  <si>
    <t>New flux</t>
  </si>
  <si>
    <t>comparson to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</si>
</sst>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2" borderId="0" xfId="0" applyFill="1"/>
    <xf numFmtId="11" fontId="0" fillId="0" borderId="0" xfId="0" applyNumberForma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F4520-3E87-9C49-81B7-0F73EEFCF4A6}">
  <dimension ref="A1:E23"/>
  <sheetViews>
    <sheetView tabSelected="1" zoomScale="187" zoomScaleNormal="187" workbookViewId="0">
      <selection activeCell="D11" sqref="D11"/>
    </sheetView>
  </sheetViews>
  <sheetFormatPr baseColWidth="10" defaultRowHeight="16" x14ac:dyDescent="0.2"/>
  <cols>
    <col min="1" max="1" width="18.6640625" customWidth="1"/>
  </cols>
  <sheetData>
    <row r="1" spans="1:5" x14ac:dyDescent="0.2">
      <c r="A1" t="s">
        <v>0</v>
      </c>
    </row>
    <row r="2" spans="1:5" x14ac:dyDescent="0.2">
      <c r="C2" t="s">
        <v>2</v>
      </c>
      <c r="D2" t="s">
        <v>3</v>
      </c>
      <c r="E2" t="s">
        <v>8</v>
      </c>
    </row>
    <row r="3" spans="1:5" x14ac:dyDescent="0.2">
      <c r="A3" s="3" t="s">
        <v>1</v>
      </c>
      <c r="B3" s="3"/>
      <c r="C3" s="3">
        <v>5</v>
      </c>
      <c r="D3" s="3">
        <v>10</v>
      </c>
      <c r="E3" t="s">
        <v>9</v>
      </c>
    </row>
    <row r="4" spans="1:5" x14ac:dyDescent="0.2">
      <c r="A4" t="s">
        <v>4</v>
      </c>
      <c r="C4">
        <f>4/3</f>
        <v>1.3333333333333333</v>
      </c>
      <c r="D4" s="1">
        <f>5/2</f>
        <v>2.5</v>
      </c>
    </row>
    <row r="5" spans="1:5" x14ac:dyDescent="0.2">
      <c r="A5" t="s">
        <v>5</v>
      </c>
      <c r="C5">
        <v>1.5</v>
      </c>
      <c r="D5" s="1">
        <f>7/2</f>
        <v>3.5</v>
      </c>
    </row>
    <row r="6" spans="1:5" x14ac:dyDescent="0.2">
      <c r="A6" t="s">
        <v>10</v>
      </c>
      <c r="C6">
        <f>AVERAGE(C4:C5)</f>
        <v>1.4166666666666665</v>
      </c>
      <c r="D6">
        <f>AVERAGE(D4:D5)</f>
        <v>3</v>
      </c>
    </row>
    <row r="8" spans="1:5" x14ac:dyDescent="0.2">
      <c r="A8" s="2" t="s">
        <v>6</v>
      </c>
    </row>
    <row r="9" spans="1:5" x14ac:dyDescent="0.2">
      <c r="A9" t="s">
        <v>7</v>
      </c>
      <c r="C9">
        <f>1/0.9</f>
        <v>1.1111111111111112</v>
      </c>
      <c r="D9">
        <f>1/0.7</f>
        <v>1.4285714285714286</v>
      </c>
    </row>
    <row r="12" spans="1:5" x14ac:dyDescent="0.2">
      <c r="A12" s="2" t="s">
        <v>11</v>
      </c>
    </row>
    <row r="13" spans="1:5" x14ac:dyDescent="0.2">
      <c r="C13">
        <f>C6*C9</f>
        <v>1.574074074074074</v>
      </c>
      <c r="D13">
        <f>D6*D9</f>
        <v>4.2857142857142856</v>
      </c>
    </row>
    <row r="14" spans="1:5" x14ac:dyDescent="0.2">
      <c r="B14" t="s">
        <v>13</v>
      </c>
      <c r="C14" t="s">
        <v>14</v>
      </c>
      <c r="D14" t="s">
        <v>15</v>
      </c>
    </row>
    <row r="15" spans="1:5" x14ac:dyDescent="0.2">
      <c r="A15" s="2" t="s">
        <v>12</v>
      </c>
      <c r="B15">
        <f>1/C13</f>
        <v>0.6352941176470589</v>
      </c>
      <c r="C15">
        <f>1/B15</f>
        <v>1.574074074074074</v>
      </c>
      <c r="D15">
        <f>C13/D13</f>
        <v>0.36728395061728392</v>
      </c>
    </row>
    <row r="17" spans="1:4" x14ac:dyDescent="0.2">
      <c r="A17" t="s">
        <v>16</v>
      </c>
    </row>
    <row r="18" spans="1:4" x14ac:dyDescent="0.2">
      <c r="A18" t="s">
        <v>17</v>
      </c>
      <c r="B18" s="4">
        <v>5.0000000000000002E-5</v>
      </c>
    </row>
    <row r="19" spans="1:4" x14ac:dyDescent="0.2">
      <c r="A19" t="s">
        <v>18</v>
      </c>
      <c r="B19" s="4">
        <f>B18*B15</f>
        <v>3.1764705882352945E-5</v>
      </c>
      <c r="C19" s="4">
        <f>B19*C15</f>
        <v>5.0000000000000002E-5</v>
      </c>
      <c r="D19" s="4">
        <f>B19*D15</f>
        <v>1.1666666666666666E-5</v>
      </c>
    </row>
    <row r="20" spans="1:4" x14ac:dyDescent="0.2">
      <c r="A20" t="s">
        <v>19</v>
      </c>
      <c r="B20">
        <v>100</v>
      </c>
    </row>
    <row r="21" spans="1:4" x14ac:dyDescent="0.2">
      <c r="A21" t="s">
        <v>20</v>
      </c>
      <c r="B21">
        <f>B20/B15</f>
        <v>157.40740740740739</v>
      </c>
      <c r="C21">
        <f>B20</f>
        <v>100</v>
      </c>
      <c r="D21" s="4">
        <f>B21*B19/D19</f>
        <v>428.57142857142861</v>
      </c>
    </row>
    <row r="23" spans="1:4" x14ac:dyDescent="0.2">
      <c r="A23" t="s">
        <v>21</v>
      </c>
      <c r="B23" s="2">
        <f>5/B21*100</f>
        <v>3.1764705882352944</v>
      </c>
      <c r="C23" s="2">
        <f>5</f>
        <v>5</v>
      </c>
      <c r="D23" s="5">
        <f>5*B20/D21</f>
        <v>1.1666666666666665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Schwadron</dc:creator>
  <cp:lastModifiedBy>Nathan Schwadron</cp:lastModifiedBy>
  <dcterms:created xsi:type="dcterms:W3CDTF">2026-06-06T13:39:37Z</dcterms:created>
  <dcterms:modified xsi:type="dcterms:W3CDTF">2026-06-06T14:41:39Z</dcterms:modified>
</cp:coreProperties>
</file>
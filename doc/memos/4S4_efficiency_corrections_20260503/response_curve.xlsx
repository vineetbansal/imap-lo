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oc/memos/level4_efficiency_corrections_20260503/"/>
    </mc:Choice>
  </mc:AlternateContent>
  <xr:revisionPtr revIDLastSave="0" documentId="8_{4CA3A5C0-AE83-264D-A020-112F2B4E4A16}" xr6:coauthVersionLast="47" xr6:coauthVersionMax="47" xr10:uidLastSave="{00000000-0000-0000-0000-000000000000}"/>
  <bookViews>
    <workbookView xWindow="21360" yWindow="1740" windowWidth="27640" windowHeight="16940" xr2:uid="{2FCBFCE8-82C9-4E4A-8ECC-B18BDCF657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E47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B45" i="1"/>
  <c r="B44" i="1"/>
  <c r="D44" i="1" s="1"/>
  <c r="B43" i="1"/>
  <c r="B42" i="1"/>
  <c r="B41" i="1"/>
  <c r="B40" i="1"/>
  <c r="B39" i="1"/>
  <c r="B38" i="1"/>
  <c r="B37" i="1"/>
  <c r="B36" i="1"/>
  <c r="D36" i="1" s="1"/>
  <c r="B35" i="1"/>
  <c r="B34" i="1"/>
  <c r="B33" i="1"/>
  <c r="B32" i="1"/>
  <c r="B31" i="1"/>
  <c r="B30" i="1"/>
  <c r="B29" i="1"/>
  <c r="B28" i="1"/>
  <c r="B27" i="1"/>
  <c r="B26" i="1"/>
  <c r="B25" i="1"/>
  <c r="B24" i="1"/>
  <c r="D24" i="1" s="1"/>
  <c r="B23" i="1"/>
  <c r="D23" i="1" s="1"/>
  <c r="B22" i="1"/>
  <c r="B21" i="1"/>
  <c r="B20" i="1"/>
  <c r="B19" i="1"/>
  <c r="B18" i="1"/>
  <c r="B17" i="1"/>
  <c r="B16" i="1"/>
  <c r="B15" i="1"/>
  <c r="B14" i="1"/>
  <c r="B13" i="1"/>
  <c r="B12" i="1"/>
  <c r="D12" i="1" s="1"/>
  <c r="B11" i="1"/>
  <c r="D11" i="1" s="1"/>
  <c r="B10" i="1"/>
  <c r="B9" i="1"/>
  <c r="B8" i="1"/>
  <c r="B7" i="1"/>
  <c r="B6" i="1"/>
  <c r="D6" i="1" s="1"/>
  <c r="B4" i="1"/>
  <c r="D33" i="1" s="1"/>
  <c r="B3" i="1"/>
  <c r="D42" i="1"/>
  <c r="D41" i="1"/>
  <c r="D40" i="1"/>
  <c r="D39" i="1"/>
  <c r="D29" i="1"/>
  <c r="D28" i="1"/>
  <c r="D25" i="1"/>
  <c r="D14" i="1"/>
  <c r="D45" i="1"/>
  <c r="D43" i="1"/>
  <c r="D31" i="1"/>
  <c r="D30" i="1"/>
  <c r="D21" i="1"/>
  <c r="D20" i="1"/>
  <c r="D19" i="1"/>
  <c r="D18" i="1"/>
  <c r="D17" i="1"/>
  <c r="D16" i="1"/>
  <c r="D15" i="1"/>
  <c r="D9" i="1"/>
  <c r="E21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8" i="1"/>
  <c r="A7" i="1"/>
  <c r="D26" i="1" l="1"/>
  <c r="E30" i="1"/>
  <c r="E9" i="1"/>
  <c r="E17" i="1"/>
  <c r="D7" i="1"/>
  <c r="E7" i="1" s="1"/>
  <c r="D32" i="1"/>
  <c r="E32" i="1" s="1"/>
  <c r="E33" i="1"/>
  <c r="E44" i="1"/>
  <c r="E16" i="1"/>
  <c r="E18" i="1"/>
  <c r="D8" i="1"/>
  <c r="E8" i="1" s="1"/>
  <c r="D10" i="1"/>
  <c r="D22" i="1"/>
  <c r="E20" i="1"/>
  <c r="E15" i="1"/>
  <c r="E19" i="1"/>
  <c r="D37" i="1"/>
  <c r="E37" i="1" s="1"/>
  <c r="D38" i="1"/>
  <c r="E38" i="1" s="1"/>
  <c r="E45" i="1"/>
  <c r="E29" i="1"/>
  <c r="D27" i="1"/>
  <c r="E27" i="1" s="1"/>
  <c r="E14" i="1"/>
  <c r="E28" i="1"/>
  <c r="E31" i="1"/>
  <c r="D13" i="1"/>
  <c r="E13" i="1" s="1"/>
  <c r="E26" i="1"/>
  <c r="E43" i="1"/>
  <c r="E23" i="1"/>
  <c r="E12" i="1"/>
  <c r="E24" i="1"/>
  <c r="E36" i="1"/>
  <c r="D34" i="1"/>
  <c r="E34" i="1" s="1"/>
  <c r="E25" i="1"/>
  <c r="E39" i="1"/>
  <c r="E42" i="1"/>
  <c r="E11" i="1"/>
  <c r="D35" i="1"/>
  <c r="E35" i="1" s="1"/>
  <c r="E40" i="1"/>
  <c r="E6" i="1"/>
  <c r="E41" i="1"/>
  <c r="E22" i="1" l="1"/>
  <c r="E10" i="1"/>
</calcChain>
</file>

<file path=xl/sharedStrings.xml><?xml version="1.0" encoding="utf-8"?>
<sst xmlns="http://schemas.openxmlformats.org/spreadsheetml/2006/main" count="12" uniqueCount="12">
  <si>
    <t>x</t>
  </si>
  <si>
    <t>log_x</t>
  </si>
  <si>
    <t>A</t>
  </si>
  <si>
    <t>sig1</t>
  </si>
  <si>
    <t>sig2</t>
  </si>
  <si>
    <t>B</t>
  </si>
  <si>
    <t>xc2</t>
  </si>
  <si>
    <t>xc1</t>
  </si>
  <si>
    <t>mu1</t>
  </si>
  <si>
    <t>mu2</t>
  </si>
  <si>
    <t>first gauss</t>
  </si>
  <si>
    <t>second guass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</si>
</sst>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6BA1-0399-C14A-B110-E8A882F8E429}">
  <dimension ref="A1:F47"/>
  <sheetViews>
    <sheetView tabSelected="1" workbookViewId="0">
      <selection activeCell="J27" sqref="J27"/>
    </sheetView>
  </sheetViews>
  <sheetFormatPr baseColWidth="10" defaultRowHeight="16" x14ac:dyDescent="0.2"/>
  <cols>
    <col min="3" max="3" width="12.1640625" bestFit="1" customWidth="1"/>
  </cols>
  <sheetData>
    <row r="1" spans="1:6" x14ac:dyDescent="0.2">
      <c r="A1" s="1">
        <v>1.0537403400000001</v>
      </c>
      <c r="B1">
        <v>0.60124387999999995</v>
      </c>
      <c r="C1">
        <v>0.32879538000000003</v>
      </c>
      <c r="D1">
        <v>0.38521192999999998</v>
      </c>
      <c r="E1">
        <v>0.24047774999999999</v>
      </c>
      <c r="F1">
        <v>0.79912919999999998</v>
      </c>
    </row>
    <row r="2" spans="1:6" x14ac:dyDescent="0.2">
      <c r="A2" t="s">
        <v>2</v>
      </c>
      <c r="B2" t="s">
        <v>7</v>
      </c>
      <c r="C2" t="s">
        <v>3</v>
      </c>
      <c r="D2" t="s">
        <v>5</v>
      </c>
      <c r="E2" t="s">
        <v>6</v>
      </c>
      <c r="F2" t="s">
        <v>4</v>
      </c>
    </row>
    <row r="3" spans="1:6" x14ac:dyDescent="0.2">
      <c r="A3" t="s">
        <v>8</v>
      </c>
      <c r="B3">
        <f>LN(B1)</f>
        <v>-0.50875463640814922</v>
      </c>
    </row>
    <row r="4" spans="1:6" x14ac:dyDescent="0.2">
      <c r="A4" t="s">
        <v>9</v>
      </c>
      <c r="B4">
        <f>LN(E1)</f>
        <v>-1.4251277093086683</v>
      </c>
    </row>
    <row r="5" spans="1:6" x14ac:dyDescent="0.2">
      <c r="A5" t="s">
        <v>0</v>
      </c>
      <c r="B5" t="s">
        <v>1</v>
      </c>
      <c r="C5" t="s">
        <v>10</v>
      </c>
      <c r="D5" t="s">
        <v>11</v>
      </c>
    </row>
    <row r="6" spans="1:6" x14ac:dyDescent="0.2">
      <c r="A6">
        <v>0.1</v>
      </c>
      <c r="B6">
        <f>LN(A6)</f>
        <v>-2.3025850929940455</v>
      </c>
      <c r="C6">
        <f>$A$1*EXP(-0.5*(B6-$B$3)^2/$C$1^2)</f>
        <v>3.6246353335649339E-7</v>
      </c>
      <c r="D6">
        <f>$D$1*EXP(-0.5*(B6-$B$4)^2/$F$1^2)</f>
        <v>0.21081333442236308</v>
      </c>
      <c r="E6">
        <f>C6+D6</f>
        <v>0.21081369688589643</v>
      </c>
      <c r="F6">
        <f>E6/$E$47</f>
        <v>0.16904985829392316</v>
      </c>
    </row>
    <row r="7" spans="1:6" x14ac:dyDescent="0.2">
      <c r="A7">
        <f>A6*1.1</f>
        <v>0.11000000000000001</v>
      </c>
      <c r="B7">
        <f t="shared" ref="B7:B45" si="0">LN(A7)</f>
        <v>-2.2072749131897207</v>
      </c>
      <c r="C7">
        <f t="shared" ref="C7:C45" si="1">$A$1*EXP(-0.5*(B7-$B$3)^2/$C$1^2)</f>
        <v>1.6898749884412551E-6</v>
      </c>
      <c r="D7">
        <f t="shared" ref="D7:D45" si="2">$D$1*EXP(-0.5*(B7-$B$4)^2/$F$1^2)</f>
        <v>0.23860715156904941</v>
      </c>
      <c r="E7">
        <f t="shared" ref="E7:E45" si="3">C7+D7</f>
        <v>0.23860884144403785</v>
      </c>
      <c r="F7">
        <f t="shared" ref="F7:F45" si="4">E7/$E$47</f>
        <v>0.19133856779535627</v>
      </c>
    </row>
    <row r="8" spans="1:6" x14ac:dyDescent="0.2">
      <c r="A8">
        <f t="shared" ref="A8:A71" si="5">A7*1.1</f>
        <v>0.12100000000000002</v>
      </c>
      <c r="B8">
        <f t="shared" si="0"/>
        <v>-2.1119647333853959</v>
      </c>
      <c r="C8">
        <f t="shared" si="1"/>
        <v>7.2435535657338333E-6</v>
      </c>
      <c r="D8">
        <f t="shared" si="2"/>
        <v>0.26625091288712216</v>
      </c>
      <c r="E8">
        <f t="shared" si="3"/>
        <v>0.2662581564406879</v>
      </c>
      <c r="F8">
        <f t="shared" si="4"/>
        <v>0.21351033770951708</v>
      </c>
    </row>
    <row r="9" spans="1:6" x14ac:dyDescent="0.2">
      <c r="A9">
        <f t="shared" si="5"/>
        <v>0.13310000000000002</v>
      </c>
      <c r="B9">
        <f t="shared" si="0"/>
        <v>-2.0166545535810707</v>
      </c>
      <c r="C9">
        <f t="shared" si="1"/>
        <v>2.8546680452207005E-5</v>
      </c>
      <c r="D9">
        <f t="shared" si="2"/>
        <v>0.29290111519719997</v>
      </c>
      <c r="E9">
        <f t="shared" si="3"/>
        <v>0.29292966187765218</v>
      </c>
      <c r="F9">
        <f t="shared" si="4"/>
        <v>0.23489800976881794</v>
      </c>
    </row>
    <row r="10" spans="1:6" x14ac:dyDescent="0.2">
      <c r="A10">
        <f t="shared" si="5"/>
        <v>0.14641000000000004</v>
      </c>
      <c r="B10">
        <f t="shared" si="0"/>
        <v>-1.9213443737767459</v>
      </c>
      <c r="C10">
        <f t="shared" si="1"/>
        <v>1.0343473135136938E-4</v>
      </c>
      <c r="D10">
        <f t="shared" si="2"/>
        <v>0.31766781470000544</v>
      </c>
      <c r="E10">
        <f t="shared" si="3"/>
        <v>0.31777124943135682</v>
      </c>
      <c r="F10">
        <f t="shared" si="4"/>
        <v>0.25481828495863557</v>
      </c>
    </row>
    <row r="11" spans="1:6" x14ac:dyDescent="0.2">
      <c r="A11">
        <f t="shared" si="5"/>
        <v>0.16105100000000006</v>
      </c>
      <c r="B11">
        <f t="shared" si="0"/>
        <v>-1.8260341939724209</v>
      </c>
      <c r="C11">
        <f t="shared" si="1"/>
        <v>3.445751926059097E-4</v>
      </c>
      <c r="D11">
        <f t="shared" si="2"/>
        <v>0.33966255814282514</v>
      </c>
      <c r="E11">
        <f t="shared" si="3"/>
        <v>0.34000713333543103</v>
      </c>
      <c r="F11">
        <f t="shared" si="4"/>
        <v>0.27264906672732886</v>
      </c>
    </row>
    <row r="12" spans="1:6" x14ac:dyDescent="0.2">
      <c r="A12">
        <f t="shared" si="5"/>
        <v>0.17715610000000007</v>
      </c>
      <c r="B12">
        <f t="shared" si="0"/>
        <v>-1.7307240141680962</v>
      </c>
      <c r="C12">
        <f t="shared" si="1"/>
        <v>1.0553790380330242E-3</v>
      </c>
      <c r="D12">
        <f t="shared" si="2"/>
        <v>0.35805060123373467</v>
      </c>
      <c r="E12">
        <f t="shared" si="3"/>
        <v>0.35910598027176771</v>
      </c>
      <c r="F12">
        <f t="shared" si="4"/>
        <v>0.28796428303375587</v>
      </c>
    </row>
    <row r="13" spans="1:6" x14ac:dyDescent="0.2">
      <c r="A13">
        <f t="shared" si="5"/>
        <v>0.19487171000000009</v>
      </c>
      <c r="B13">
        <f t="shared" si="0"/>
        <v>-1.6354138343637712</v>
      </c>
      <c r="C13">
        <f t="shared" si="1"/>
        <v>2.9719381021125566E-3</v>
      </c>
      <c r="D13">
        <f t="shared" si="2"/>
        <v>0.3721032035409475</v>
      </c>
      <c r="E13">
        <f t="shared" si="3"/>
        <v>0.37507514164306005</v>
      </c>
      <c r="F13">
        <f t="shared" si="4"/>
        <v>0.30076982891036425</v>
      </c>
    </row>
    <row r="14" spans="1:6" x14ac:dyDescent="0.2">
      <c r="A14">
        <f t="shared" si="5"/>
        <v>0.21435888100000011</v>
      </c>
      <c r="B14">
        <f t="shared" si="0"/>
        <v>-1.5401036545594462</v>
      </c>
      <c r="C14">
        <f t="shared" si="1"/>
        <v>7.6944555569740773E-3</v>
      </c>
      <c r="D14">
        <f t="shared" si="2"/>
        <v>0.38124546044370444</v>
      </c>
      <c r="E14">
        <f t="shared" si="3"/>
        <v>0.38893991600067851</v>
      </c>
      <c r="F14">
        <f t="shared" si="4"/>
        <v>0.31188788326383082</v>
      </c>
    </row>
    <row r="15" spans="1:6" x14ac:dyDescent="0.2">
      <c r="A15">
        <f t="shared" si="5"/>
        <v>0.23579476910000013</v>
      </c>
      <c r="B15">
        <f t="shared" si="0"/>
        <v>-1.4447934747551214</v>
      </c>
      <c r="C15">
        <f t="shared" si="1"/>
        <v>1.8315672556189228E-2</v>
      </c>
      <c r="D15">
        <f t="shared" si="2"/>
        <v>0.38509530499043443</v>
      </c>
      <c r="E15">
        <f t="shared" si="3"/>
        <v>0.40341097754662364</v>
      </c>
      <c r="F15">
        <f t="shared" si="4"/>
        <v>0.32349211458201099</v>
      </c>
    </row>
    <row r="16" spans="1:6" x14ac:dyDescent="0.2">
      <c r="A16">
        <f t="shared" si="5"/>
        <v>0.25937424601000014</v>
      </c>
      <c r="B16">
        <f t="shared" si="0"/>
        <v>-1.3494832949507964</v>
      </c>
      <c r="C16">
        <f t="shared" si="1"/>
        <v>4.0084335225415754E-2</v>
      </c>
      <c r="D16">
        <f t="shared" si="2"/>
        <v>0.38348999410130236</v>
      </c>
      <c r="E16">
        <f t="shared" si="3"/>
        <v>0.42357432932671812</v>
      </c>
      <c r="F16">
        <f t="shared" si="4"/>
        <v>0.33966094901500526</v>
      </c>
    </row>
    <row r="17" spans="1:6" x14ac:dyDescent="0.2">
      <c r="A17">
        <f t="shared" si="5"/>
        <v>0.28531167061100016</v>
      </c>
      <c r="B17">
        <f t="shared" si="0"/>
        <v>-1.2541731151464717</v>
      </c>
      <c r="C17">
        <f t="shared" si="1"/>
        <v>8.0655379663871263E-2</v>
      </c>
      <c r="D17">
        <f t="shared" si="2"/>
        <v>0.37649752065311504</v>
      </c>
      <c r="E17">
        <f t="shared" si="3"/>
        <v>0.4571529003169863</v>
      </c>
      <c r="F17">
        <f t="shared" si="4"/>
        <v>0.36658734303716251</v>
      </c>
    </row>
    <row r="18" spans="1:6" x14ac:dyDescent="0.2">
      <c r="A18">
        <f t="shared" si="5"/>
        <v>0.31384283767210019</v>
      </c>
      <c r="B18">
        <f t="shared" si="0"/>
        <v>-1.1588629353421467</v>
      </c>
      <c r="C18">
        <f t="shared" si="1"/>
        <v>0.14921031040724173</v>
      </c>
      <c r="D18">
        <f t="shared" si="2"/>
        <v>0.36441183634181185</v>
      </c>
      <c r="E18">
        <f t="shared" si="3"/>
        <v>0.5136221467490536</v>
      </c>
      <c r="F18">
        <f t="shared" si="4"/>
        <v>0.41186959105196996</v>
      </c>
    </row>
    <row r="19" spans="1:6" x14ac:dyDescent="0.2">
      <c r="A19">
        <f t="shared" si="5"/>
        <v>0.34522712143931022</v>
      </c>
      <c r="B19">
        <f t="shared" si="0"/>
        <v>-1.0635527555378219</v>
      </c>
      <c r="C19">
        <f t="shared" si="1"/>
        <v>0.25378804919197129</v>
      </c>
      <c r="D19">
        <f t="shared" si="2"/>
        <v>0.3477323530116217</v>
      </c>
      <c r="E19">
        <f t="shared" si="3"/>
        <v>0.60152040220359293</v>
      </c>
      <c r="F19">
        <f t="shared" si="4"/>
        <v>0.48235451612263802</v>
      </c>
    </row>
    <row r="20" spans="1:6" x14ac:dyDescent="0.2">
      <c r="A20">
        <f t="shared" si="5"/>
        <v>0.37974983358324127</v>
      </c>
      <c r="B20">
        <f t="shared" si="0"/>
        <v>-0.96824257573349692</v>
      </c>
      <c r="C20">
        <f t="shared" si="1"/>
        <v>0.3968718911210033</v>
      </c>
      <c r="D20">
        <f t="shared" si="2"/>
        <v>0.32712971433969634</v>
      </c>
      <c r="E20">
        <f t="shared" si="3"/>
        <v>0.72400160546069969</v>
      </c>
      <c r="F20">
        <f t="shared" si="4"/>
        <v>0.58057123714285697</v>
      </c>
    </row>
    <row r="21" spans="1:6" x14ac:dyDescent="0.2">
      <c r="A21">
        <f t="shared" si="5"/>
        <v>0.41772481694156544</v>
      </c>
      <c r="B21">
        <f t="shared" si="0"/>
        <v>-0.87293239592917193</v>
      </c>
      <c r="C21">
        <f t="shared" si="1"/>
        <v>0.57060602548867079</v>
      </c>
      <c r="D21">
        <f t="shared" si="2"/>
        <v>0.30340110627026912</v>
      </c>
      <c r="E21">
        <f t="shared" si="3"/>
        <v>0.87400713175893996</v>
      </c>
      <c r="F21">
        <f t="shared" si="4"/>
        <v>0.70085949800357428</v>
      </c>
    </row>
    <row r="22" spans="1:6" x14ac:dyDescent="0.2">
      <c r="A22">
        <f t="shared" si="5"/>
        <v>0.45949729863572203</v>
      </c>
      <c r="B22">
        <f t="shared" si="0"/>
        <v>-0.77762221612484705</v>
      </c>
      <c r="C22">
        <f t="shared" si="1"/>
        <v>0.75427411820164325</v>
      </c>
      <c r="D22">
        <f t="shared" si="2"/>
        <v>0.27741925177341231</v>
      </c>
      <c r="E22">
        <f t="shared" si="3"/>
        <v>1.0316933699750557</v>
      </c>
      <c r="F22">
        <f t="shared" si="4"/>
        <v>0.82730686180918245</v>
      </c>
    </row>
    <row r="23" spans="1:6" x14ac:dyDescent="0.2">
      <c r="A23">
        <f t="shared" si="5"/>
        <v>0.50544702849929424</v>
      </c>
      <c r="B23">
        <f t="shared" si="0"/>
        <v>-0.68231203632052218</v>
      </c>
      <c r="C23">
        <f t="shared" si="1"/>
        <v>0.9167035174965712</v>
      </c>
      <c r="D23">
        <f t="shared" si="2"/>
        <v>0.25007962107341025</v>
      </c>
      <c r="E23">
        <f t="shared" si="3"/>
        <v>1.1667831385699814</v>
      </c>
      <c r="F23">
        <f t="shared" si="4"/>
        <v>0.93563429297363676</v>
      </c>
    </row>
    <row r="24" spans="1:6" x14ac:dyDescent="0.2">
      <c r="A24">
        <f t="shared" si="5"/>
        <v>0.55599173134922375</v>
      </c>
      <c r="B24">
        <f t="shared" si="0"/>
        <v>-0.58700185651619707</v>
      </c>
      <c r="C24">
        <f t="shared" si="1"/>
        <v>1.0243194738449846</v>
      </c>
      <c r="D24">
        <f t="shared" si="2"/>
        <v>0.22225026100677778</v>
      </c>
      <c r="E24">
        <f t="shared" si="3"/>
        <v>1.2465697348517624</v>
      </c>
      <c r="F24">
        <f t="shared" si="4"/>
        <v>0.99961454185893528</v>
      </c>
    </row>
    <row r="25" spans="1:6" x14ac:dyDescent="0.2">
      <c r="A25">
        <f t="shared" si="5"/>
        <v>0.61159090448414621</v>
      </c>
      <c r="B25">
        <f t="shared" si="0"/>
        <v>-0.49169167671187214</v>
      </c>
      <c r="C25">
        <f t="shared" si="1"/>
        <v>1.0523223650538569</v>
      </c>
      <c r="D25">
        <f t="shared" si="2"/>
        <v>0.19472805553483968</v>
      </c>
      <c r="E25">
        <f t="shared" si="3"/>
        <v>1.2470504205886965</v>
      </c>
      <c r="F25">
        <f t="shared" si="4"/>
        <v>1</v>
      </c>
    </row>
    <row r="26" spans="1:6" x14ac:dyDescent="0.2">
      <c r="A26">
        <f t="shared" si="5"/>
        <v>0.67274999493256094</v>
      </c>
      <c r="B26">
        <f t="shared" si="0"/>
        <v>-0.39638149690754709</v>
      </c>
      <c r="C26">
        <f t="shared" si="1"/>
        <v>0.993960237940686</v>
      </c>
      <c r="D26">
        <f t="shared" si="2"/>
        <v>0.16820428112207209</v>
      </c>
      <c r="E26">
        <f t="shared" si="3"/>
        <v>1.1621645190627581</v>
      </c>
      <c r="F26">
        <f t="shared" si="4"/>
        <v>0.93193065803556985</v>
      </c>
    </row>
    <row r="27" spans="1:6" x14ac:dyDescent="0.2">
      <c r="A27">
        <f t="shared" si="5"/>
        <v>0.74002499442581704</v>
      </c>
      <c r="B27">
        <f t="shared" si="0"/>
        <v>-0.30107131710322221</v>
      </c>
      <c r="C27">
        <f t="shared" si="1"/>
        <v>0.86316945144205681</v>
      </c>
      <c r="D27">
        <f t="shared" si="2"/>
        <v>0.1432411614424304</v>
      </c>
      <c r="E27">
        <f t="shared" si="3"/>
        <v>1.0064106128844872</v>
      </c>
      <c r="F27">
        <f t="shared" si="4"/>
        <v>0.80703281621074296</v>
      </c>
    </row>
    <row r="28" spans="1:6" x14ac:dyDescent="0.2">
      <c r="A28">
        <f t="shared" si="5"/>
        <v>0.81402749386839879</v>
      </c>
      <c r="B28">
        <f t="shared" si="0"/>
        <v>-0.20576113729889731</v>
      </c>
      <c r="C28">
        <f t="shared" si="1"/>
        <v>0.6891756932233869</v>
      </c>
      <c r="D28">
        <f t="shared" si="2"/>
        <v>0.1202599150544567</v>
      </c>
      <c r="E28">
        <f t="shared" si="3"/>
        <v>0.80943560827784355</v>
      </c>
      <c r="F28">
        <f t="shared" si="4"/>
        <v>0.64908009725519544</v>
      </c>
    </row>
    <row r="29" spans="1:6" x14ac:dyDescent="0.2">
      <c r="A29">
        <f t="shared" si="5"/>
        <v>0.89543024325523879</v>
      </c>
      <c r="B29">
        <f t="shared" si="0"/>
        <v>-0.11045095749457232</v>
      </c>
      <c r="C29">
        <f t="shared" si="1"/>
        <v>0.50590699158995156</v>
      </c>
      <c r="D29">
        <f t="shared" si="2"/>
        <v>9.9539675873172362E-2</v>
      </c>
      <c r="E29">
        <f t="shared" si="3"/>
        <v>0.60544666746312392</v>
      </c>
      <c r="F29">
        <f t="shared" si="4"/>
        <v>0.48550295759277323</v>
      </c>
    </row>
    <row r="30" spans="1:6" x14ac:dyDescent="0.2">
      <c r="A30">
        <f t="shared" si="5"/>
        <v>0.98497326758076276</v>
      </c>
      <c r="B30">
        <f t="shared" si="0"/>
        <v>-1.5140777690247371E-2</v>
      </c>
      <c r="C30">
        <f t="shared" si="1"/>
        <v>0.34144302907704704</v>
      </c>
      <c r="D30">
        <f t="shared" si="2"/>
        <v>8.1225767227102022E-2</v>
      </c>
      <c r="E30">
        <f t="shared" si="3"/>
        <v>0.42266879630414905</v>
      </c>
      <c r="F30">
        <f t="shared" si="4"/>
        <v>0.33893480915119639</v>
      </c>
    </row>
    <row r="31" spans="1:6" x14ac:dyDescent="0.2">
      <c r="A31">
        <f t="shared" si="5"/>
        <v>1.0834705943388392</v>
      </c>
      <c r="B31">
        <f t="shared" si="0"/>
        <v>8.0169402114077637E-2</v>
      </c>
      <c r="C31">
        <f t="shared" si="1"/>
        <v>0.21187155759555967</v>
      </c>
      <c r="D31">
        <f t="shared" si="2"/>
        <v>6.5345200172616288E-2</v>
      </c>
      <c r="E31">
        <f t="shared" si="3"/>
        <v>0.27721675776817595</v>
      </c>
      <c r="F31">
        <f t="shared" si="4"/>
        <v>0.22229795459056892</v>
      </c>
    </row>
    <row r="32" spans="1:6" x14ac:dyDescent="0.2">
      <c r="A32">
        <f t="shared" si="5"/>
        <v>1.1918176537727232</v>
      </c>
      <c r="B32">
        <f t="shared" si="0"/>
        <v>0.17547958191840257</v>
      </c>
      <c r="C32">
        <f t="shared" si="1"/>
        <v>0.12087428211069279</v>
      </c>
      <c r="D32">
        <f t="shared" si="2"/>
        <v>5.1826971735789415E-2</v>
      </c>
      <c r="E32">
        <f t="shared" si="3"/>
        <v>0.17270125384648222</v>
      </c>
      <c r="F32">
        <f t="shared" si="4"/>
        <v>0.1384877876589424</v>
      </c>
    </row>
    <row r="33" spans="1:6" x14ac:dyDescent="0.2">
      <c r="A33">
        <f t="shared" si="5"/>
        <v>1.3109994191499956</v>
      </c>
      <c r="B33">
        <f t="shared" si="0"/>
        <v>0.27078976172272751</v>
      </c>
      <c r="C33">
        <f t="shared" si="1"/>
        <v>6.3401859553200074E-2</v>
      </c>
      <c r="D33">
        <f t="shared" si="2"/>
        <v>4.0524740738069574E-2</v>
      </c>
      <c r="E33">
        <f t="shared" si="3"/>
        <v>0.10392660029126966</v>
      </c>
      <c r="F33">
        <f t="shared" si="4"/>
        <v>8.333792970632968E-2</v>
      </c>
    </row>
    <row r="34" spans="1:6" x14ac:dyDescent="0.2">
      <c r="A34">
        <f t="shared" si="5"/>
        <v>1.4420993610649953</v>
      </c>
      <c r="B34">
        <f t="shared" si="0"/>
        <v>0.36609994152705244</v>
      </c>
      <c r="C34">
        <f t="shared" si="1"/>
        <v>3.0575736244336807E-2</v>
      </c>
      <c r="D34">
        <f t="shared" si="2"/>
        <v>3.123970520685914E-2</v>
      </c>
      <c r="E34">
        <f t="shared" si="3"/>
        <v>6.1815441451195947E-2</v>
      </c>
      <c r="F34">
        <f t="shared" si="4"/>
        <v>4.9569320077703566E-2</v>
      </c>
    </row>
    <row r="35" spans="1:6" x14ac:dyDescent="0.2">
      <c r="A35">
        <f t="shared" si="5"/>
        <v>1.5863092971714949</v>
      </c>
      <c r="B35">
        <f t="shared" si="0"/>
        <v>0.46141012133137738</v>
      </c>
      <c r="C35">
        <f t="shared" si="1"/>
        <v>1.3556846870820613E-2</v>
      </c>
      <c r="D35">
        <f t="shared" si="2"/>
        <v>2.3741922304881414E-2</v>
      </c>
      <c r="E35">
        <f t="shared" si="3"/>
        <v>3.7298769175702025E-2</v>
      </c>
      <c r="F35">
        <f t="shared" si="4"/>
        <v>2.9909591913769094E-2</v>
      </c>
    </row>
    <row r="36" spans="1:6" x14ac:dyDescent="0.2">
      <c r="A36">
        <f t="shared" si="5"/>
        <v>1.7449402268886445</v>
      </c>
      <c r="B36">
        <f t="shared" si="0"/>
        <v>0.55672030113570226</v>
      </c>
      <c r="C36">
        <f t="shared" si="1"/>
        <v>5.5264633899107223E-3</v>
      </c>
      <c r="D36">
        <f t="shared" si="2"/>
        <v>1.7788818431245287E-2</v>
      </c>
      <c r="E36">
        <f t="shared" si="3"/>
        <v>2.3315281821156011E-2</v>
      </c>
      <c r="F36">
        <f t="shared" si="4"/>
        <v>1.8696342534530033E-2</v>
      </c>
    </row>
    <row r="37" spans="1:6" x14ac:dyDescent="0.2">
      <c r="A37">
        <f t="shared" si="5"/>
        <v>1.919434249577509</v>
      </c>
      <c r="B37">
        <f t="shared" si="0"/>
        <v>0.65203048094002714</v>
      </c>
      <c r="C37">
        <f t="shared" si="1"/>
        <v>2.0712987533632625E-3</v>
      </c>
      <c r="D37">
        <f t="shared" si="2"/>
        <v>1.314015825509793E-2</v>
      </c>
      <c r="E37">
        <f t="shared" si="3"/>
        <v>1.5211457008461191E-2</v>
      </c>
      <c r="F37">
        <f t="shared" si="4"/>
        <v>1.2197948661354287E-2</v>
      </c>
    </row>
    <row r="38" spans="1:6" x14ac:dyDescent="0.2">
      <c r="A38">
        <f t="shared" si="5"/>
        <v>2.1113776745352602</v>
      </c>
      <c r="B38">
        <f t="shared" si="0"/>
        <v>0.74734066074435213</v>
      </c>
      <c r="C38">
        <f t="shared" si="1"/>
        <v>7.1374820622775487E-4</v>
      </c>
      <c r="D38">
        <f t="shared" si="2"/>
        <v>9.5692160410910717E-3</v>
      </c>
      <c r="E38">
        <f t="shared" si="3"/>
        <v>1.0282964247318827E-2</v>
      </c>
      <c r="F38">
        <f t="shared" si="4"/>
        <v>8.2458287792922889E-3</v>
      </c>
    </row>
    <row r="39" spans="1:6" x14ac:dyDescent="0.2">
      <c r="A39">
        <f t="shared" si="5"/>
        <v>2.3225154419887866</v>
      </c>
      <c r="B39">
        <f t="shared" si="0"/>
        <v>0.84265084054867723</v>
      </c>
      <c r="C39">
        <f t="shared" si="1"/>
        <v>2.2612790304684532E-4</v>
      </c>
      <c r="D39">
        <f t="shared" si="2"/>
        <v>6.8702793164437731E-3</v>
      </c>
      <c r="E39">
        <f t="shared" si="3"/>
        <v>7.0964072194906183E-3</v>
      </c>
      <c r="F39">
        <f t="shared" si="4"/>
        <v>5.6905535673053296E-3</v>
      </c>
    </row>
    <row r="40" spans="1:6" x14ac:dyDescent="0.2">
      <c r="A40">
        <f t="shared" si="5"/>
        <v>2.5547669861876656</v>
      </c>
      <c r="B40">
        <f t="shared" si="0"/>
        <v>0.93796102035300222</v>
      </c>
      <c r="C40">
        <f t="shared" si="1"/>
        <v>6.5867339311523917E-5</v>
      </c>
      <c r="D40">
        <f t="shared" si="2"/>
        <v>4.8628928333751707E-3</v>
      </c>
      <c r="E40">
        <f t="shared" si="3"/>
        <v>4.9287601726866947E-3</v>
      </c>
      <c r="F40">
        <f t="shared" si="4"/>
        <v>3.9523343172924554E-3</v>
      </c>
    </row>
    <row r="41" spans="1:6" x14ac:dyDescent="0.2">
      <c r="A41">
        <f t="shared" si="5"/>
        <v>2.8102436848064323</v>
      </c>
      <c r="B41">
        <f t="shared" si="0"/>
        <v>1.033271200157327</v>
      </c>
      <c r="C41">
        <f t="shared" si="1"/>
        <v>1.7639770294202161E-5</v>
      </c>
      <c r="D41">
        <f t="shared" si="2"/>
        <v>3.3934173360437706E-3</v>
      </c>
      <c r="E41">
        <f t="shared" si="3"/>
        <v>3.4110571063379726E-3</v>
      </c>
      <c r="F41">
        <f t="shared" si="4"/>
        <v>2.7353000728933727E-3</v>
      </c>
    </row>
    <row r="42" spans="1:6" x14ac:dyDescent="0.2">
      <c r="A42">
        <f t="shared" si="5"/>
        <v>3.0912680532870755</v>
      </c>
      <c r="B42">
        <f t="shared" si="0"/>
        <v>1.128581379961652</v>
      </c>
      <c r="C42">
        <f t="shared" si="1"/>
        <v>4.3433274213410382E-6</v>
      </c>
      <c r="D42">
        <f t="shared" si="2"/>
        <v>2.3345443031303125E-3</v>
      </c>
      <c r="E42">
        <f t="shared" si="3"/>
        <v>2.3388876305516534E-3</v>
      </c>
      <c r="F42">
        <f t="shared" si="4"/>
        <v>1.8755357377190347E-3</v>
      </c>
    </row>
    <row r="43" spans="1:6" x14ac:dyDescent="0.2">
      <c r="A43">
        <f t="shared" si="5"/>
        <v>3.4003948586157833</v>
      </c>
      <c r="B43">
        <f t="shared" si="0"/>
        <v>1.223891559765977</v>
      </c>
      <c r="C43">
        <f t="shared" si="1"/>
        <v>9.8323890361674814E-7</v>
      </c>
      <c r="D43">
        <f t="shared" si="2"/>
        <v>1.5833948802860354E-3</v>
      </c>
      <c r="E43">
        <f t="shared" si="3"/>
        <v>1.5843781191896521E-3</v>
      </c>
      <c r="F43">
        <f t="shared" si="4"/>
        <v>1.2705004489246816E-3</v>
      </c>
    </row>
    <row r="44" spans="1:6" x14ac:dyDescent="0.2">
      <c r="A44">
        <f t="shared" si="5"/>
        <v>3.7404343444773618</v>
      </c>
      <c r="B44">
        <f t="shared" si="0"/>
        <v>1.3192017395703017</v>
      </c>
      <c r="C44">
        <f t="shared" si="1"/>
        <v>2.0464558396968055E-7</v>
      </c>
      <c r="D44">
        <f t="shared" si="2"/>
        <v>1.0587626765775572E-3</v>
      </c>
      <c r="E44">
        <f t="shared" si="3"/>
        <v>1.0589673221615269E-3</v>
      </c>
      <c r="F44">
        <f t="shared" si="4"/>
        <v>8.4917763121527916E-4</v>
      </c>
    </row>
    <row r="45" spans="1:6" x14ac:dyDescent="0.2">
      <c r="A45">
        <f t="shared" si="5"/>
        <v>4.1144777789250986</v>
      </c>
      <c r="B45">
        <f t="shared" si="0"/>
        <v>1.4145119193746267</v>
      </c>
      <c r="C45">
        <f t="shared" si="1"/>
        <v>3.9160888859025848E-8</v>
      </c>
      <c r="D45">
        <f t="shared" si="2"/>
        <v>6.9795959261607769E-4</v>
      </c>
      <c r="E45">
        <f t="shared" si="3"/>
        <v>6.9799875350493674E-4</v>
      </c>
      <c r="F45">
        <f t="shared" si="4"/>
        <v>5.5971975309180493E-4</v>
      </c>
    </row>
    <row r="47" spans="1:6" x14ac:dyDescent="0.2">
      <c r="E47">
        <f>MAX(E6:E45)</f>
        <v>1.2470504205886965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Schwadron</dc:creator>
  <cp:lastModifiedBy>Nathan Schwadron</cp:lastModifiedBy>
  <dcterms:created xsi:type="dcterms:W3CDTF">2026-05-03T21:52:51Z</dcterms:created>
  <dcterms:modified xsi:type="dcterms:W3CDTF">2026-05-03T22:12:20Z</dcterms:modified>
</cp:coreProperties>
</file>